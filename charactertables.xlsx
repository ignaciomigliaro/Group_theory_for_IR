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ni\Desktop\"/>
    </mc:Choice>
  </mc:AlternateContent>
  <xr:revisionPtr revIDLastSave="0" documentId="13_ncr:1_{F2F40619-AFCB-4EFA-BDA1-01715622DBCE}" xr6:coauthVersionLast="47" xr6:coauthVersionMax="47" xr10:uidLastSave="{00000000-0000-0000-0000-000000000000}"/>
  <bookViews>
    <workbookView xWindow="-96" yWindow="468" windowWidth="11772" windowHeight="11844" xr2:uid="{3AA36B28-F7CA-48D6-8E25-81EB9E68E055}"/>
  </bookViews>
  <sheets>
    <sheet name="Di" sheetId="16" r:id="rId1"/>
    <sheet name="D3h" sheetId="3" r:id="rId2"/>
    <sheet name="C2v" sheetId="4" r:id="rId3"/>
    <sheet name="Td" sheetId="5" r:id="rId4"/>
    <sheet name="C3v" sheetId="6" r:id="rId5"/>
    <sheet name="Civ" sheetId="7" r:id="rId6"/>
    <sheet name="Oh" sheetId="8" r:id="rId7"/>
    <sheet name="C4h" sheetId="9" r:id="rId8"/>
    <sheet name="D5h" sheetId="10" r:id="rId9"/>
    <sheet name="C4v" sheetId="12" r:id="rId10"/>
    <sheet name="D4h" sheetId="13" r:id="rId11"/>
    <sheet name="Sheet1" sheetId="17" r:id="rId12"/>
  </sheets>
  <definedNames>
    <definedName name="Di">Di!$1:$1048576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0" l="1"/>
  <c r="H11" i="10"/>
  <c r="G11" i="10"/>
  <c r="D11" i="10"/>
  <c r="C11" i="10"/>
  <c r="H10" i="10"/>
  <c r="G10" i="10"/>
  <c r="D10" i="10"/>
  <c r="C10" i="10"/>
  <c r="H5" i="10"/>
  <c r="G5" i="10"/>
  <c r="D5" i="10"/>
  <c r="C5" i="10"/>
  <c r="H4" i="10"/>
  <c r="G4" i="10"/>
  <c r="D4" i="10"/>
  <c r="C4" i="10"/>
</calcChain>
</file>

<file path=xl/sharedStrings.xml><?xml version="1.0" encoding="utf-8"?>
<sst xmlns="http://schemas.openxmlformats.org/spreadsheetml/2006/main" count="324" uniqueCount="158">
  <si>
    <t>Di</t>
  </si>
  <si>
    <t>E</t>
  </si>
  <si>
    <t>C2(z)</t>
  </si>
  <si>
    <t>C2(y)</t>
  </si>
  <si>
    <t>C2(x)</t>
  </si>
  <si>
    <t>i</t>
  </si>
  <si>
    <t>sv(xy)</t>
  </si>
  <si>
    <t>sv(xz)</t>
  </si>
  <si>
    <t>sv(yz)</t>
  </si>
  <si>
    <t>Linear</t>
  </si>
  <si>
    <t>Rotational</t>
  </si>
  <si>
    <t>Quadratic</t>
  </si>
  <si>
    <t>Σg+</t>
  </si>
  <si>
    <t>x2, y2, z2</t>
  </si>
  <si>
    <t>Σg-</t>
  </si>
  <si>
    <t>Rz</t>
  </si>
  <si>
    <t>xy</t>
  </si>
  <si>
    <t>∏g</t>
  </si>
  <si>
    <t>Rx, Ry</t>
  </si>
  <si>
    <t>yz, xz</t>
  </si>
  <si>
    <t>∆g</t>
  </si>
  <si>
    <t>Σu-</t>
  </si>
  <si>
    <t>Σu+</t>
  </si>
  <si>
    <t>z</t>
  </si>
  <si>
    <t>∏u</t>
  </si>
  <si>
    <t>x, y</t>
  </si>
  <si>
    <t>∆u</t>
  </si>
  <si>
    <t>#</t>
  </si>
  <si>
    <t>D3h</t>
  </si>
  <si>
    <t>C3</t>
  </si>
  <si>
    <t>C2</t>
  </si>
  <si>
    <t>sh</t>
  </si>
  <si>
    <t>S3</t>
  </si>
  <si>
    <t>sv</t>
  </si>
  <si>
    <t>A1'</t>
  </si>
  <si>
    <t>x2 + y2, z2</t>
  </si>
  <si>
    <t>A2'</t>
  </si>
  <si>
    <t>E'</t>
  </si>
  <si>
    <t xml:space="preserve">x, y </t>
  </si>
  <si>
    <t>x2 - y2, xy</t>
  </si>
  <si>
    <t>A1''</t>
  </si>
  <si>
    <t>A2''</t>
  </si>
  <si>
    <t>E''</t>
  </si>
  <si>
    <t>xz, yz</t>
  </si>
  <si>
    <t>C2v</t>
  </si>
  <si>
    <t>A1</t>
  </si>
  <si>
    <t>A2</t>
  </si>
  <si>
    <t>B1</t>
  </si>
  <si>
    <t>x</t>
  </si>
  <si>
    <t>Ry</t>
  </si>
  <si>
    <t>xz</t>
  </si>
  <si>
    <t>B2</t>
  </si>
  <si>
    <t>y</t>
  </si>
  <si>
    <t>Rx</t>
  </si>
  <si>
    <t>yz</t>
  </si>
  <si>
    <t>Td</t>
  </si>
  <si>
    <t>S4</t>
  </si>
  <si>
    <t>sd</t>
  </si>
  <si>
    <t>x2 + y2 + z2</t>
  </si>
  <si>
    <t>2z2 - x2 - y2, x2 - y2</t>
  </si>
  <si>
    <t>T1</t>
  </si>
  <si>
    <t>Rx, Ry, Rz</t>
  </si>
  <si>
    <t>T2</t>
  </si>
  <si>
    <t xml:space="preserve">x, y, z </t>
  </si>
  <si>
    <t>xz, yz, xy</t>
  </si>
  <si>
    <r>
      <t>C</t>
    </r>
    <r>
      <rPr>
        <vertAlign val="subscript"/>
        <sz val="10"/>
        <color theme="1"/>
        <rFont val="Times New Roman"/>
        <family val="1"/>
      </rPr>
      <t>3</t>
    </r>
    <r>
      <rPr>
        <i/>
        <vertAlign val="subscript"/>
        <sz val="10"/>
        <color theme="1"/>
        <rFont val="Times New Roman"/>
        <family val="1"/>
      </rPr>
      <t>v</t>
    </r>
  </si>
  <si>
    <r>
      <t>A</t>
    </r>
    <r>
      <rPr>
        <vertAlign val="subscript"/>
        <sz val="10"/>
        <color theme="1"/>
        <rFont val="Times New Roman"/>
        <family val="1"/>
      </rPr>
      <t>1</t>
    </r>
  </si>
  <si>
    <r>
      <t>x</t>
    </r>
    <r>
      <rPr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 xml:space="preserve">+ </t>
    </r>
    <r>
      <rPr>
        <i/>
        <sz val="10"/>
        <color theme="1"/>
        <rFont val="Times New Roman"/>
        <family val="1"/>
      </rPr>
      <t>y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z</t>
    </r>
    <r>
      <rPr>
        <vertAlign val="superscript"/>
        <sz val="10"/>
        <color theme="1"/>
        <rFont val="Times New Roman"/>
        <family val="1"/>
      </rPr>
      <t>2</t>
    </r>
  </si>
  <si>
    <r>
      <t>A</t>
    </r>
    <r>
      <rPr>
        <vertAlign val="subscript"/>
        <sz val="10"/>
        <color theme="1"/>
        <rFont val="Times New Roman"/>
        <family val="1"/>
      </rPr>
      <t>2</t>
    </r>
  </si>
  <si>
    <r>
      <t>R</t>
    </r>
    <r>
      <rPr>
        <i/>
        <vertAlign val="subscript"/>
        <sz val="10"/>
        <color theme="1"/>
        <rFont val="Times New Roman"/>
        <family val="1"/>
      </rPr>
      <t>z</t>
    </r>
  </si>
  <si>
    <r>
      <rPr>
        <i/>
        <sz val="10"/>
        <color theme="1"/>
        <rFont val="Times New Roman"/>
        <family val="1"/>
      </rPr>
      <t>x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y</t>
    </r>
  </si>
  <si>
    <r>
      <rPr>
        <i/>
        <sz val="10"/>
        <color theme="1"/>
        <rFont val="Times New Roman"/>
        <family val="1"/>
      </rPr>
      <t>x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- </t>
    </r>
    <r>
      <rPr>
        <i/>
        <sz val="10"/>
        <color theme="1"/>
        <rFont val="Times New Roman"/>
        <family val="1"/>
      </rPr>
      <t>y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xy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xz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yz</t>
    </r>
  </si>
  <si>
    <t>C∞v</t>
  </si>
  <si>
    <t>2C∞Φ</t>
  </si>
  <si>
    <t>∞σv</t>
  </si>
  <si>
    <t>A1 = ∑+</t>
  </si>
  <si>
    <t>x2 +  y2, z2</t>
  </si>
  <si>
    <t>A2 = ∑ -</t>
  </si>
  <si>
    <t>…</t>
  </si>
  <si>
    <t>E1 = Π</t>
  </si>
  <si>
    <t>2 cos Φ</t>
  </si>
  <si>
    <t>E2 = Δ</t>
  </si>
  <si>
    <t>2 cos 2Φ</t>
  </si>
  <si>
    <t>x2 -  y2, xy</t>
  </si>
  <si>
    <t>E3 = Φ</t>
  </si>
  <si>
    <t>2 cos 3Φ</t>
  </si>
  <si>
    <t>Oh</t>
  </si>
  <si>
    <t>C4</t>
  </si>
  <si>
    <t>S6</t>
  </si>
  <si>
    <t>A1g</t>
  </si>
  <si>
    <t>A2g</t>
  </si>
  <si>
    <t>Eg</t>
  </si>
  <si>
    <t>T1g</t>
  </si>
  <si>
    <t>T2g</t>
  </si>
  <si>
    <t>A1u</t>
  </si>
  <si>
    <t>A2u</t>
  </si>
  <si>
    <t>Eu</t>
  </si>
  <si>
    <t>T1u</t>
  </si>
  <si>
    <t>x, y, z</t>
  </si>
  <si>
    <t>T2u</t>
  </si>
  <si>
    <t>C4h</t>
  </si>
  <si>
    <t>Ag</t>
  </si>
  <si>
    <t>Bg</t>
  </si>
  <si>
    <t>-i</t>
  </si>
  <si>
    <t>Au</t>
  </si>
  <si>
    <t>Bu</t>
  </si>
  <si>
    <r>
      <rPr>
        <i/>
        <sz val="10"/>
        <color theme="1"/>
        <rFont val="Times New Roman"/>
        <family val="1"/>
      </rPr>
      <t>D</t>
    </r>
    <r>
      <rPr>
        <i/>
        <vertAlign val="subscript"/>
        <sz val="10"/>
        <color theme="1"/>
        <rFont val="Times New Roman"/>
        <family val="1"/>
      </rPr>
      <t>5h</t>
    </r>
  </si>
  <si>
    <t>C5</t>
  </si>
  <si>
    <t>C"2</t>
  </si>
  <si>
    <t>S5</t>
  </si>
  <si>
    <t>S5^3</t>
  </si>
  <si>
    <r>
      <rPr>
        <i/>
        <sz val="10"/>
        <color theme="1"/>
        <rFont val="Times New Roman"/>
        <family val="1"/>
      </rPr>
      <t>A</t>
    </r>
    <r>
      <rPr>
        <vertAlign val="subscript"/>
        <sz val="10"/>
        <color theme="1"/>
        <rFont val="Times New Roman"/>
        <family val="1"/>
      </rPr>
      <t>1</t>
    </r>
    <r>
      <rPr>
        <i/>
        <sz val="10"/>
        <color theme="1"/>
        <rFont val="Times New Roman"/>
        <family val="1"/>
      </rPr>
      <t>'</t>
    </r>
  </si>
  <si>
    <r>
      <rPr>
        <i/>
        <sz val="10"/>
        <color theme="1"/>
        <rFont val="Times New Roman"/>
        <family val="1"/>
      </rPr>
      <t>x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+ </t>
    </r>
    <r>
      <rPr>
        <i/>
        <sz val="10"/>
        <color theme="1"/>
        <rFont val="Times New Roman"/>
        <family val="1"/>
      </rPr>
      <t>y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z</t>
    </r>
    <r>
      <rPr>
        <vertAlign val="superscript"/>
        <sz val="10"/>
        <color theme="1"/>
        <rFont val="Times New Roman"/>
        <family val="1"/>
      </rPr>
      <t>2</t>
    </r>
  </si>
  <si>
    <r>
      <rPr>
        <i/>
        <sz val="10"/>
        <color theme="1"/>
        <rFont val="Times New Roman"/>
        <family val="1"/>
      </rPr>
      <t>A</t>
    </r>
    <r>
      <rPr>
        <vertAlign val="subscript"/>
        <sz val="10"/>
        <color theme="1"/>
        <rFont val="Times New Roman"/>
        <family val="1"/>
      </rPr>
      <t>2</t>
    </r>
    <r>
      <rPr>
        <i/>
        <sz val="10"/>
        <color theme="1"/>
        <rFont val="Times New Roman"/>
        <family val="1"/>
      </rPr>
      <t>'</t>
    </r>
  </si>
  <si>
    <r>
      <rPr>
        <i/>
        <sz val="10"/>
        <color theme="1"/>
        <rFont val="Times New Roman"/>
        <family val="1"/>
      </rPr>
      <t>R</t>
    </r>
    <r>
      <rPr>
        <i/>
        <vertAlign val="subscript"/>
        <sz val="10"/>
        <color theme="1"/>
        <rFont val="Times New Roman"/>
        <family val="1"/>
      </rPr>
      <t>z</t>
    </r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</si>
  <si>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>'</t>
    </r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</si>
  <si>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'</t>
    </r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</si>
  <si>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1</t>
    </r>
    <r>
      <rPr>
        <i/>
        <sz val="10"/>
        <color theme="1"/>
        <rFont val="Times New Roman"/>
        <family val="1"/>
      </rPr>
      <t>'</t>
    </r>
  </si>
  <si>
    <t>2 cos 72°</t>
  </si>
  <si>
    <t>2 cos 144°</t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</si>
  <si>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2</t>
    </r>
    <r>
      <rPr>
        <i/>
        <sz val="10"/>
        <color theme="1"/>
        <rFont val="Times New Roman"/>
        <family val="1"/>
      </rPr>
      <t>'</t>
    </r>
  </si>
  <si>
    <r>
      <rPr>
        <i/>
        <sz val="10"/>
        <color theme="1"/>
        <rFont val="Times New Roman"/>
        <family val="1"/>
      </rPr>
      <t>x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- </t>
    </r>
    <r>
      <rPr>
        <i/>
        <sz val="10"/>
        <color theme="1"/>
        <rFont val="Times New Roman"/>
        <family val="1"/>
      </rPr>
      <t>y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xy</t>
    </r>
  </si>
  <si>
    <r>
      <rPr>
        <i/>
        <sz val="10"/>
        <color theme="1"/>
        <rFont val="Times New Roman"/>
        <family val="1"/>
      </rPr>
      <t>A</t>
    </r>
    <r>
      <rPr>
        <vertAlign val="subscript"/>
        <sz val="10"/>
        <color theme="1"/>
        <rFont val="Times New Roman"/>
        <family val="1"/>
      </rPr>
      <t>1</t>
    </r>
    <r>
      <rPr>
        <i/>
        <sz val="10"/>
        <color theme="1"/>
        <rFont val="Times New Roman"/>
        <family val="1"/>
      </rPr>
      <t>''</t>
    </r>
  </si>
  <si>
    <r>
      <rPr>
        <i/>
        <sz val="10"/>
        <color theme="1"/>
        <rFont val="Times New Roman"/>
        <family val="1"/>
      </rPr>
      <t>A</t>
    </r>
    <r>
      <rPr>
        <vertAlign val="subscript"/>
        <sz val="10"/>
        <color theme="1"/>
        <rFont val="Times New Roman"/>
        <family val="1"/>
      </rPr>
      <t>2</t>
    </r>
    <r>
      <rPr>
        <i/>
        <sz val="10"/>
        <color theme="1"/>
        <rFont val="Times New Roman"/>
        <family val="1"/>
      </rPr>
      <t>''</t>
    </r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</si>
  <si>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>''</t>
    </r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</si>
  <si>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''</t>
    </r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</si>
  <si>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1</t>
    </r>
    <r>
      <rPr>
        <i/>
        <sz val="10"/>
        <color theme="1"/>
        <rFont val="Times New Roman"/>
        <family val="1"/>
      </rPr>
      <t>''</t>
    </r>
  </si>
  <si>
    <t>-2 cos 72°</t>
  </si>
  <si>
    <t>-2 cos 144°</t>
  </si>
  <si>
    <r>
      <rPr>
        <i/>
        <sz val="10"/>
        <color theme="1"/>
        <rFont val="Times New Roman"/>
        <family val="1"/>
      </rPr>
      <t>R</t>
    </r>
    <r>
      <rPr>
        <i/>
        <vertAlign val="subscript"/>
        <sz val="10"/>
        <color theme="1"/>
        <rFont val="Times New Roman"/>
        <family val="1"/>
      </rPr>
      <t>x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R</t>
    </r>
    <r>
      <rPr>
        <i/>
        <vertAlign val="subscript"/>
        <sz val="10"/>
        <color theme="1"/>
        <rFont val="Times New Roman"/>
        <family val="1"/>
      </rPr>
      <t>y</t>
    </r>
  </si>
  <si>
    <r>
      <rPr>
        <i/>
        <sz val="10"/>
        <color theme="1"/>
        <rFont val="Times New Roman"/>
        <family val="1"/>
      </rPr>
      <t>xz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yz</t>
    </r>
  </si>
  <si>
    <r>
      <rPr>
        <i/>
        <sz val="10"/>
        <color theme="1"/>
        <rFont val="Times New Roman"/>
        <family val="1"/>
      </rPr>
      <t>E</t>
    </r>
    <r>
      <rPr>
        <vertAlign val="subscript"/>
        <sz val="10"/>
        <color theme="1"/>
        <rFont val="Times New Roman"/>
        <family val="1"/>
      </rPr>
      <t>2</t>
    </r>
    <r>
      <rPr>
        <i/>
        <sz val="10"/>
        <color theme="1"/>
        <rFont val="Times New Roman"/>
        <family val="1"/>
      </rPr>
      <t>''</t>
    </r>
  </si>
  <si>
    <r>
      <t>C</t>
    </r>
    <r>
      <rPr>
        <vertAlign val="subscript"/>
        <sz val="10"/>
        <color theme="1"/>
        <rFont val="Times New Roman"/>
        <family val="1"/>
      </rPr>
      <t>4v</t>
    </r>
  </si>
  <si>
    <r>
      <t>x</t>
    </r>
    <r>
      <rPr>
        <vertAlign val="super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>+ y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, z</t>
    </r>
    <r>
      <rPr>
        <vertAlign val="superscript"/>
        <sz val="10"/>
        <color theme="1"/>
        <rFont val="Times New Roman"/>
        <family val="1"/>
      </rPr>
      <t>2</t>
    </r>
  </si>
  <si>
    <r>
      <t>B</t>
    </r>
    <r>
      <rPr>
        <vertAlign val="subscript"/>
        <sz val="10"/>
        <color theme="1"/>
        <rFont val="Times New Roman"/>
        <family val="1"/>
      </rPr>
      <t>1</t>
    </r>
  </si>
  <si>
    <r>
      <t>x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- y</t>
    </r>
    <r>
      <rPr>
        <vertAlign val="superscript"/>
        <sz val="10"/>
        <color theme="1"/>
        <rFont val="Times New Roman"/>
        <family val="1"/>
      </rPr>
      <t>2</t>
    </r>
  </si>
  <si>
    <r>
      <t>B</t>
    </r>
    <r>
      <rPr>
        <vertAlign val="subscript"/>
        <sz val="10"/>
        <color theme="1"/>
        <rFont val="Times New Roman"/>
        <family val="1"/>
      </rPr>
      <t>2</t>
    </r>
  </si>
  <si>
    <t>(x, y)</t>
  </si>
  <si>
    <t>(Rx, Ry)</t>
  </si>
  <si>
    <t>(xz, yz)</t>
  </si>
  <si>
    <r>
      <rPr>
        <i/>
        <sz val="10"/>
        <color theme="1"/>
        <rFont val="Times New Roman"/>
      </rPr>
      <t>D</t>
    </r>
    <r>
      <rPr>
        <sz val="10"/>
        <color theme="1"/>
        <rFont val="Times New Roman"/>
      </rPr>
      <t>4</t>
    </r>
    <r>
      <rPr>
        <i/>
        <sz val="10"/>
        <color theme="1"/>
        <rFont val="Times New Roman"/>
      </rPr>
      <t>h</t>
    </r>
  </si>
  <si>
    <t>C'2</t>
  </si>
  <si>
    <r>
      <rPr>
        <i/>
        <sz val="10"/>
        <color theme="1"/>
        <rFont val="Times New Roman"/>
      </rPr>
      <t>A</t>
    </r>
    <r>
      <rPr>
        <vertAlign val="subscript"/>
        <sz val="10"/>
        <color theme="1"/>
        <rFont val="Times New Roman"/>
      </rPr>
      <t>1</t>
    </r>
    <r>
      <rPr>
        <i/>
        <vertAlign val="subscript"/>
        <sz val="10"/>
        <color theme="1"/>
        <rFont val="Times New Roman"/>
      </rPr>
      <t>g</t>
    </r>
  </si>
  <si>
    <r>
      <rPr>
        <i/>
        <sz val="10"/>
        <color theme="1"/>
        <rFont val="Times New Roman"/>
      </rPr>
      <t>x</t>
    </r>
    <r>
      <rPr>
        <vertAlign val="superscript"/>
        <sz val="10"/>
        <color theme="1"/>
        <rFont val="Times New Roman"/>
      </rPr>
      <t xml:space="preserve">2 </t>
    </r>
    <r>
      <rPr>
        <sz val="10"/>
        <color theme="1"/>
        <rFont val="Times New Roman"/>
      </rPr>
      <t xml:space="preserve">+ </t>
    </r>
    <r>
      <rPr>
        <i/>
        <sz val="10"/>
        <color theme="1"/>
        <rFont val="Times New Roman"/>
      </rPr>
      <t>y</t>
    </r>
    <r>
      <rPr>
        <vertAlign val="superscript"/>
        <sz val="10"/>
        <color theme="1"/>
        <rFont val="Times New Roman"/>
      </rPr>
      <t>2</t>
    </r>
    <r>
      <rPr>
        <sz val="10"/>
        <color theme="1"/>
        <rFont val="Times New Roman"/>
      </rPr>
      <t xml:space="preserve">, </t>
    </r>
    <r>
      <rPr>
        <i/>
        <sz val="10"/>
        <color theme="1"/>
        <rFont val="Times New Roman"/>
      </rPr>
      <t>z</t>
    </r>
    <r>
      <rPr>
        <vertAlign val="superscript"/>
        <sz val="10"/>
        <color theme="1"/>
        <rFont val="Times New Roman"/>
      </rPr>
      <t>2</t>
    </r>
  </si>
  <si>
    <r>
      <rPr>
        <i/>
        <sz val="10"/>
        <color theme="1"/>
        <rFont val="Times New Roman"/>
      </rPr>
      <t>A</t>
    </r>
    <r>
      <rPr>
        <vertAlign val="subscript"/>
        <sz val="10"/>
        <color theme="1"/>
        <rFont val="Times New Roman"/>
      </rPr>
      <t>2</t>
    </r>
    <r>
      <rPr>
        <i/>
        <vertAlign val="subscript"/>
        <sz val="10"/>
        <color theme="1"/>
        <rFont val="Times New Roman"/>
      </rPr>
      <t>g</t>
    </r>
  </si>
  <si>
    <r>
      <rPr>
        <i/>
        <sz val="10"/>
        <color theme="1"/>
        <rFont val="Times New Roman"/>
      </rPr>
      <t>R</t>
    </r>
    <r>
      <rPr>
        <i/>
        <vertAlign val="subscript"/>
        <sz val="10"/>
        <color theme="1"/>
        <rFont val="Times New Roman"/>
      </rPr>
      <t>z</t>
    </r>
  </si>
  <si>
    <r>
      <rPr>
        <i/>
        <sz val="10"/>
        <color theme="1"/>
        <rFont val="Times New Roman"/>
      </rPr>
      <t>B</t>
    </r>
    <r>
      <rPr>
        <vertAlign val="subscript"/>
        <sz val="10"/>
        <color theme="1"/>
        <rFont val="Times New Roman"/>
      </rPr>
      <t>1</t>
    </r>
    <r>
      <rPr>
        <i/>
        <vertAlign val="subscript"/>
        <sz val="10"/>
        <color theme="1"/>
        <rFont val="Times New Roman"/>
      </rPr>
      <t>g</t>
    </r>
  </si>
  <si>
    <r>
      <rPr>
        <i/>
        <sz val="10"/>
        <color theme="1"/>
        <rFont val="Times New Roman"/>
      </rPr>
      <t>x</t>
    </r>
    <r>
      <rPr>
        <vertAlign val="superscript"/>
        <sz val="10"/>
        <color theme="1"/>
        <rFont val="Times New Roman"/>
      </rPr>
      <t>2</t>
    </r>
    <r>
      <rPr>
        <sz val="10"/>
        <color theme="1"/>
        <rFont val="Times New Roman"/>
      </rPr>
      <t xml:space="preserve"> - </t>
    </r>
    <r>
      <rPr>
        <i/>
        <sz val="10"/>
        <color theme="1"/>
        <rFont val="Times New Roman"/>
      </rPr>
      <t>y</t>
    </r>
    <r>
      <rPr>
        <vertAlign val="superscript"/>
        <sz val="10"/>
        <color theme="1"/>
        <rFont val="Times New Roman"/>
      </rPr>
      <t>2</t>
    </r>
  </si>
  <si>
    <r>
      <rPr>
        <i/>
        <sz val="10"/>
        <color theme="1"/>
        <rFont val="Times New Roman"/>
      </rPr>
      <t>B</t>
    </r>
    <r>
      <rPr>
        <vertAlign val="subscript"/>
        <sz val="10"/>
        <color theme="1"/>
        <rFont val="Times New Roman"/>
      </rPr>
      <t>2</t>
    </r>
    <r>
      <rPr>
        <i/>
        <vertAlign val="subscript"/>
        <sz val="10"/>
        <color theme="1"/>
        <rFont val="Times New Roman"/>
      </rPr>
      <t>g</t>
    </r>
  </si>
  <si>
    <r>
      <rPr>
        <i/>
        <sz val="10"/>
        <color theme="1"/>
        <rFont val="Times New Roman"/>
      </rPr>
      <t>E</t>
    </r>
    <r>
      <rPr>
        <i/>
        <vertAlign val="subscript"/>
        <sz val="10"/>
        <color theme="1"/>
        <rFont val="Times New Roman"/>
      </rPr>
      <t>g</t>
    </r>
  </si>
  <si>
    <r>
      <rPr>
        <sz val="10"/>
        <color theme="1"/>
        <rFont val="Times New Roman"/>
      </rPr>
      <t>(</t>
    </r>
    <r>
      <rPr>
        <i/>
        <sz val="10"/>
        <color theme="1"/>
        <rFont val="Times New Roman"/>
      </rPr>
      <t>R</t>
    </r>
    <r>
      <rPr>
        <i/>
        <vertAlign val="subscript"/>
        <sz val="10"/>
        <color theme="1"/>
        <rFont val="Times New Roman"/>
      </rPr>
      <t>x</t>
    </r>
    <r>
      <rPr>
        <i/>
        <sz val="10"/>
        <color theme="1"/>
        <rFont val="Times New Roman"/>
      </rPr>
      <t>, R</t>
    </r>
    <r>
      <rPr>
        <i/>
        <vertAlign val="subscript"/>
        <sz val="10"/>
        <color theme="1"/>
        <rFont val="Times New Roman"/>
      </rPr>
      <t>y</t>
    </r>
    <r>
      <rPr>
        <sz val="10"/>
        <color theme="1"/>
        <rFont val="Times New Roman"/>
      </rPr>
      <t>)</t>
    </r>
  </si>
  <si>
    <r>
      <rPr>
        <sz val="10"/>
        <color theme="1"/>
        <rFont val="Times New Roman"/>
      </rPr>
      <t>(</t>
    </r>
    <r>
      <rPr>
        <i/>
        <sz val="10"/>
        <color theme="1"/>
        <rFont val="Times New Roman"/>
      </rPr>
      <t>xz</t>
    </r>
    <r>
      <rPr>
        <sz val="10"/>
        <color theme="1"/>
        <rFont val="Times New Roman"/>
      </rPr>
      <t xml:space="preserve">, </t>
    </r>
    <r>
      <rPr>
        <i/>
        <sz val="10"/>
        <color theme="1"/>
        <rFont val="Times New Roman"/>
      </rPr>
      <t>yz</t>
    </r>
    <r>
      <rPr>
        <sz val="10"/>
        <color theme="1"/>
        <rFont val="Times New Roman"/>
      </rPr>
      <t>)</t>
    </r>
  </si>
  <si>
    <r>
      <rPr>
        <i/>
        <sz val="10"/>
        <color theme="1"/>
        <rFont val="Times New Roman"/>
      </rPr>
      <t>A</t>
    </r>
    <r>
      <rPr>
        <vertAlign val="subscript"/>
        <sz val="10"/>
        <color theme="1"/>
        <rFont val="Times New Roman"/>
      </rPr>
      <t>1</t>
    </r>
    <r>
      <rPr>
        <i/>
        <vertAlign val="subscript"/>
        <sz val="10"/>
        <color theme="1"/>
        <rFont val="Times New Roman"/>
      </rPr>
      <t>u</t>
    </r>
  </si>
  <si>
    <r>
      <rPr>
        <i/>
        <sz val="10"/>
        <color theme="1"/>
        <rFont val="Times New Roman"/>
      </rPr>
      <t>A</t>
    </r>
    <r>
      <rPr>
        <vertAlign val="subscript"/>
        <sz val="10"/>
        <color theme="1"/>
        <rFont val="Times New Roman"/>
      </rPr>
      <t>2</t>
    </r>
    <r>
      <rPr>
        <i/>
        <vertAlign val="subscript"/>
        <sz val="10"/>
        <color theme="1"/>
        <rFont val="Times New Roman"/>
      </rPr>
      <t>u</t>
    </r>
  </si>
  <si>
    <r>
      <rPr>
        <i/>
        <sz val="10"/>
        <color theme="1"/>
        <rFont val="Times New Roman"/>
      </rPr>
      <t>B</t>
    </r>
    <r>
      <rPr>
        <vertAlign val="subscript"/>
        <sz val="10"/>
        <color theme="1"/>
        <rFont val="Times New Roman"/>
      </rPr>
      <t>1</t>
    </r>
    <r>
      <rPr>
        <i/>
        <vertAlign val="subscript"/>
        <sz val="10"/>
        <color theme="1"/>
        <rFont val="Times New Roman"/>
      </rPr>
      <t>u</t>
    </r>
  </si>
  <si>
    <r>
      <rPr>
        <i/>
        <sz val="10"/>
        <color theme="1"/>
        <rFont val="Times New Roman"/>
      </rPr>
      <t>B</t>
    </r>
    <r>
      <rPr>
        <vertAlign val="subscript"/>
        <sz val="10"/>
        <color theme="1"/>
        <rFont val="Times New Roman"/>
      </rPr>
      <t>2</t>
    </r>
    <r>
      <rPr>
        <i/>
        <vertAlign val="subscript"/>
        <sz val="10"/>
        <color theme="1"/>
        <rFont val="Times New Roman"/>
      </rPr>
      <t>u</t>
    </r>
  </si>
  <si>
    <r>
      <rPr>
        <i/>
        <sz val="10"/>
        <color theme="1"/>
        <rFont val="Times New Roman"/>
      </rPr>
      <t>E</t>
    </r>
    <r>
      <rPr>
        <i/>
        <vertAlign val="subscript"/>
        <sz val="10"/>
        <color theme="1"/>
        <rFont val="Times New Roman"/>
      </rPr>
      <t>u</t>
    </r>
  </si>
  <si>
    <t>x,y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</si>
</sst>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1"/>
      <color theme="1"/>
      <name val="Calibri"/>
      <family val="2"/>
    </font>
    <font>
      <sz val="9"/>
      <color theme="1"/>
      <name val="Times New Roman"/>
      <family val="1"/>
    </font>
    <font>
      <sz val="8"/>
      <name val="Calibri"/>
      <family val="2"/>
      <scheme val="minor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theme="1"/>
      <name val="Times New Roman"/>
    </font>
    <font>
      <sz val="10"/>
      <color theme="1"/>
      <name val="Times New Roman"/>
    </font>
    <font>
      <i/>
      <vertAlign val="subscript"/>
      <sz val="10"/>
      <color theme="1"/>
      <name val="Times New Roman"/>
    </font>
    <font>
      <vertAlign val="subscript"/>
      <sz val="10"/>
      <color theme="1"/>
      <name val="Times New Roman"/>
    </font>
    <font>
      <vertAlign val="superscript"/>
      <sz val="1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2" fillId="0" borderId="6" xfId="0" applyFont="1" applyBorder="1" applyAlignment="1">
      <alignment horizontal="right"/>
    </xf>
    <xf numFmtId="0" fontId="1" fillId="0" borderId="7" xfId="0" applyFont="1" applyBorder="1"/>
    <xf numFmtId="0" fontId="0" fillId="0" borderId="7" xfId="0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0" fontId="8" fillId="0" borderId="7" xfId="0" applyFont="1" applyBorder="1"/>
    <xf numFmtId="0" fontId="1" fillId="0" borderId="10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0" borderId="9" xfId="0" applyFont="1" applyBorder="1"/>
    <xf numFmtId="2" fontId="2" fillId="0" borderId="0" xfId="0" applyNumberFormat="1" applyFont="1" applyAlignment="1">
      <alignment horizontal="right"/>
    </xf>
    <xf numFmtId="0" fontId="2" fillId="0" borderId="11" xfId="0" applyFont="1" applyBorder="1"/>
    <xf numFmtId="2" fontId="2" fillId="0" borderId="0" xfId="0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0" fontId="8" fillId="0" borderId="8" xfId="0" applyFont="1" applyBorder="1"/>
    <xf numFmtId="0" fontId="8" fillId="0" borderId="3" xfId="0" applyFont="1" applyBorder="1"/>
    <xf numFmtId="0" fontId="8" fillId="0" borderId="0" xfId="0" applyFont="1"/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0" fontId="0" fillId="2" borderId="1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11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15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8" xfId="0" applyFont="1" applyBorder="1"/>
    <xf numFmtId="0" fontId="2" fillId="0" borderId="3" xfId="0" applyFont="1" applyBorder="1"/>
    <xf numFmtId="0" fontId="12" fillId="0" borderId="2" xfId="0" applyFont="1" applyBorder="1"/>
    <xf numFmtId="0" fontId="12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12" fillId="0" borderId="5" xfId="0" applyFont="1" applyBorder="1"/>
    <xf numFmtId="0" fontId="13" fillId="0" borderId="0" xfId="0" applyFont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9" xfId="0" applyFont="1" applyBorder="1"/>
    <xf numFmtId="0" fontId="12" fillId="0" borderId="0" xfId="0" applyFont="1"/>
    <xf numFmtId="0" fontId="13" fillId="0" borderId="5" xfId="0" applyFont="1" applyBorder="1" applyAlignment="1">
      <alignment horizontal="right"/>
    </xf>
    <xf numFmtId="0" fontId="13" fillId="0" borderId="0" xfId="0" applyFont="1"/>
    <xf numFmtId="0" fontId="12" fillId="0" borderId="10" xfId="0" applyFont="1" applyBorder="1"/>
    <xf numFmtId="0" fontId="13" fillId="0" borderId="10" xfId="0" applyFont="1" applyBorder="1"/>
    <xf numFmtId="0" fontId="0" fillId="0" borderId="10" xfId="0" applyBorder="1"/>
    <xf numFmtId="0" fontId="0" fillId="0" borderId="9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C030-9B78-483E-A686-7BE6D5CB1B9C}">
  <dimension ref="A1:L10"/>
  <sheetViews>
    <sheetView tabSelected="1" workbookViewId="0">
      <selection activeCell="C14" sqref="C14"/>
    </sheetView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67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L2" t="s">
        <v>13</v>
      </c>
    </row>
    <row r="3" spans="1:12">
      <c r="A3" t="s">
        <v>14</v>
      </c>
      <c r="B3">
        <v>1</v>
      </c>
      <c r="C3">
        <v>1</v>
      </c>
      <c r="D3">
        <v>-1</v>
      </c>
      <c r="E3">
        <v>-1</v>
      </c>
      <c r="F3">
        <v>1</v>
      </c>
      <c r="G3">
        <v>1</v>
      </c>
      <c r="H3">
        <v>-1</v>
      </c>
      <c r="I3">
        <v>-1</v>
      </c>
      <c r="K3" t="s">
        <v>15</v>
      </c>
      <c r="L3" t="s">
        <v>16</v>
      </c>
    </row>
    <row r="4" spans="1:12">
      <c r="A4" s="67" t="s">
        <v>17</v>
      </c>
      <c r="B4">
        <v>2</v>
      </c>
      <c r="C4">
        <v>-2</v>
      </c>
      <c r="D4">
        <v>0</v>
      </c>
      <c r="E4">
        <v>0</v>
      </c>
      <c r="F4">
        <v>2</v>
      </c>
      <c r="G4">
        <v>-2</v>
      </c>
      <c r="H4">
        <v>0</v>
      </c>
      <c r="I4">
        <v>0</v>
      </c>
      <c r="K4" t="s">
        <v>18</v>
      </c>
      <c r="L4" t="s">
        <v>19</v>
      </c>
    </row>
    <row r="5" spans="1:12">
      <c r="A5" s="67" t="s">
        <v>20</v>
      </c>
      <c r="B5">
        <v>2</v>
      </c>
      <c r="C5">
        <v>2</v>
      </c>
      <c r="D5">
        <v>0</v>
      </c>
      <c r="E5">
        <v>0</v>
      </c>
      <c r="F5">
        <v>2</v>
      </c>
      <c r="G5">
        <v>2</v>
      </c>
      <c r="H5">
        <v>0</v>
      </c>
      <c r="I5">
        <v>0</v>
      </c>
      <c r="L5" t="s">
        <v>13</v>
      </c>
    </row>
    <row r="6" spans="1:12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-1</v>
      </c>
      <c r="H6">
        <v>-1</v>
      </c>
      <c r="I6">
        <v>-1</v>
      </c>
    </row>
    <row r="7" spans="1:12">
      <c r="A7" t="s">
        <v>22</v>
      </c>
      <c r="B7">
        <v>1</v>
      </c>
      <c r="C7">
        <v>1</v>
      </c>
      <c r="D7">
        <v>-1</v>
      </c>
      <c r="E7">
        <v>-1</v>
      </c>
      <c r="F7">
        <v>1</v>
      </c>
      <c r="G7">
        <v>-1</v>
      </c>
      <c r="H7">
        <v>1</v>
      </c>
      <c r="I7">
        <v>1</v>
      </c>
      <c r="J7" t="s">
        <v>23</v>
      </c>
    </row>
    <row r="8" spans="1:12">
      <c r="A8" t="s">
        <v>24</v>
      </c>
      <c r="B8">
        <v>2</v>
      </c>
      <c r="C8">
        <v>-2</v>
      </c>
      <c r="D8">
        <v>0</v>
      </c>
      <c r="E8">
        <v>0</v>
      </c>
      <c r="F8">
        <v>-2</v>
      </c>
      <c r="G8">
        <v>2</v>
      </c>
      <c r="H8">
        <v>0</v>
      </c>
      <c r="I8">
        <v>0</v>
      </c>
      <c r="J8" t="s">
        <v>25</v>
      </c>
    </row>
    <row r="9" spans="1:12">
      <c r="A9" t="s">
        <v>26</v>
      </c>
      <c r="B9">
        <v>2</v>
      </c>
      <c r="C9">
        <v>2</v>
      </c>
      <c r="D9">
        <v>0</v>
      </c>
      <c r="E9">
        <v>0</v>
      </c>
      <c r="F9">
        <v>-2</v>
      </c>
      <c r="G9">
        <v>-2</v>
      </c>
      <c r="H9">
        <v>0</v>
      </c>
      <c r="I9">
        <v>0</v>
      </c>
      <c r="J9" t="s">
        <v>23</v>
      </c>
    </row>
    <row r="10" spans="1:12">
      <c r="A10" t="s">
        <v>27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BC23-7986-4CBC-92C2-6B7AD6861ACA}">
  <dimension ref="A1:J8"/>
  <sheetViews>
    <sheetView topLeftCell="D1" workbookViewId="0">
      <selection sqref="A1:XFD1048576"/>
    </sheetView>
  </sheetViews>
  <sheetFormatPr defaultRowHeight="14.45"/>
  <cols>
    <col min="8" max="8" width="6.42578125" bestFit="1" customWidth="1"/>
    <col min="9" max="9" width="10.140625" bestFit="1" customWidth="1"/>
    <col min="10" max="10" width="9.5703125" bestFit="1" customWidth="1"/>
  </cols>
  <sheetData>
    <row r="1" spans="1:10">
      <c r="A1" s="34" t="s">
        <v>28</v>
      </c>
      <c r="B1" s="34" t="s">
        <v>1</v>
      </c>
      <c r="C1" s="34" t="s">
        <v>29</v>
      </c>
      <c r="D1" s="34" t="s">
        <v>30</v>
      </c>
      <c r="E1" s="34" t="s">
        <v>31</v>
      </c>
      <c r="F1" s="34" t="s">
        <v>32</v>
      </c>
      <c r="G1" s="34" t="s">
        <v>33</v>
      </c>
      <c r="H1" s="35" t="s">
        <v>9</v>
      </c>
      <c r="I1" s="35" t="s">
        <v>10</v>
      </c>
      <c r="J1" s="35" t="s">
        <v>11</v>
      </c>
    </row>
    <row r="2" spans="1:10">
      <c r="A2" s="36" t="s">
        <v>34</v>
      </c>
      <c r="B2" s="36">
        <v>1</v>
      </c>
      <c r="C2" s="36">
        <v>1</v>
      </c>
      <c r="D2" s="36">
        <v>1</v>
      </c>
      <c r="E2" s="36">
        <v>1</v>
      </c>
      <c r="F2" s="36">
        <v>1</v>
      </c>
      <c r="G2" s="36">
        <v>1</v>
      </c>
      <c r="H2" s="36"/>
      <c r="I2" s="36"/>
      <c r="J2" s="36" t="s">
        <v>35</v>
      </c>
    </row>
    <row r="3" spans="1:10">
      <c r="A3" s="37" t="s">
        <v>36</v>
      </c>
      <c r="B3" s="37">
        <v>1</v>
      </c>
      <c r="C3" s="37">
        <v>1</v>
      </c>
      <c r="D3" s="37">
        <v>-1</v>
      </c>
      <c r="E3" s="37">
        <v>1</v>
      </c>
      <c r="F3" s="37">
        <v>1</v>
      </c>
      <c r="G3" s="37">
        <v>-1</v>
      </c>
      <c r="H3" s="37"/>
      <c r="I3" s="37" t="s">
        <v>15</v>
      </c>
      <c r="J3" s="37"/>
    </row>
    <row r="4" spans="1:10">
      <c r="A4" s="37" t="s">
        <v>37</v>
      </c>
      <c r="B4" s="37">
        <v>2</v>
      </c>
      <c r="C4" s="37">
        <v>-1</v>
      </c>
      <c r="D4" s="37">
        <v>0</v>
      </c>
      <c r="E4" s="37">
        <v>2</v>
      </c>
      <c r="F4" s="37">
        <v>-1</v>
      </c>
      <c r="G4" s="37">
        <v>0</v>
      </c>
      <c r="H4" s="37" t="s">
        <v>38</v>
      </c>
      <c r="I4" s="37"/>
      <c r="J4" s="37" t="s">
        <v>39</v>
      </c>
    </row>
    <row r="5" spans="1:10">
      <c r="A5" s="37" t="s">
        <v>40</v>
      </c>
      <c r="B5" s="37">
        <v>1</v>
      </c>
      <c r="C5" s="37">
        <v>1</v>
      </c>
      <c r="D5" s="37">
        <v>1</v>
      </c>
      <c r="E5" s="37">
        <v>-1</v>
      </c>
      <c r="F5" s="37">
        <v>-1</v>
      </c>
      <c r="G5" s="37">
        <v>-1</v>
      </c>
      <c r="H5" s="37"/>
      <c r="I5" s="37"/>
      <c r="J5" s="37"/>
    </row>
    <row r="6" spans="1:10">
      <c r="A6" s="37" t="s">
        <v>41</v>
      </c>
      <c r="B6" s="37">
        <v>1</v>
      </c>
      <c r="C6" s="37">
        <v>1</v>
      </c>
      <c r="D6" s="37">
        <v>-1</v>
      </c>
      <c r="E6" s="37">
        <v>-1</v>
      </c>
      <c r="F6" s="37">
        <v>-1</v>
      </c>
      <c r="G6" s="37">
        <v>1</v>
      </c>
      <c r="H6" s="37" t="s">
        <v>23</v>
      </c>
      <c r="I6" s="37"/>
      <c r="J6" s="37"/>
    </row>
    <row r="7" spans="1:10">
      <c r="A7" s="37" t="s">
        <v>42</v>
      </c>
      <c r="B7" s="37">
        <v>2</v>
      </c>
      <c r="C7" s="37">
        <v>-1</v>
      </c>
      <c r="D7" s="37">
        <v>0</v>
      </c>
      <c r="E7" s="37">
        <v>-2</v>
      </c>
      <c r="F7" s="37">
        <v>1</v>
      </c>
      <c r="G7" s="37">
        <v>0</v>
      </c>
      <c r="H7" s="37"/>
      <c r="I7" s="37" t="s">
        <v>18</v>
      </c>
      <c r="J7" s="37" t="s">
        <v>43</v>
      </c>
    </row>
    <row r="8" spans="1:10">
      <c r="A8" s="38" t="s">
        <v>27</v>
      </c>
      <c r="B8" s="38">
        <v>1</v>
      </c>
      <c r="C8" s="38">
        <v>2</v>
      </c>
      <c r="D8" s="38">
        <v>3</v>
      </c>
      <c r="E8" s="38">
        <v>1</v>
      </c>
      <c r="F8" s="38">
        <v>2</v>
      </c>
      <c r="G8" s="38">
        <v>3</v>
      </c>
      <c r="H8" s="38"/>
      <c r="I8" s="38"/>
      <c r="J8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CDA9-402C-4A65-AE64-CA3CCAEC7742}">
  <dimension ref="A1:H6"/>
  <sheetViews>
    <sheetView workbookViewId="0">
      <selection activeCell="G1" sqref="G1"/>
    </sheetView>
  </sheetViews>
  <sheetFormatPr defaultRowHeight="14.45"/>
  <sheetData>
    <row r="1" spans="1:8">
      <c r="A1" s="2" t="s">
        <v>44</v>
      </c>
      <c r="B1" s="2" t="s">
        <v>1</v>
      </c>
      <c r="C1" s="2" t="s">
        <v>30</v>
      </c>
      <c r="D1" s="9" t="s">
        <v>7</v>
      </c>
      <c r="E1" s="9" t="s">
        <v>8</v>
      </c>
      <c r="F1" s="2" t="s">
        <v>9</v>
      </c>
      <c r="G1" s="2" t="s">
        <v>10</v>
      </c>
      <c r="H1" s="2" t="s">
        <v>11</v>
      </c>
    </row>
    <row r="2" spans="1:8">
      <c r="A2" t="s">
        <v>45</v>
      </c>
      <c r="B2" s="2">
        <v>1</v>
      </c>
      <c r="C2" s="2">
        <v>1</v>
      </c>
      <c r="D2" s="2">
        <v>1</v>
      </c>
      <c r="E2" s="2">
        <v>1</v>
      </c>
      <c r="F2" t="s">
        <v>23</v>
      </c>
      <c r="H2" t="s">
        <v>13</v>
      </c>
    </row>
    <row r="3" spans="1:8">
      <c r="A3" t="s">
        <v>46</v>
      </c>
      <c r="B3" s="2">
        <v>1</v>
      </c>
      <c r="C3" s="2">
        <v>1</v>
      </c>
      <c r="D3" s="2">
        <v>-1</v>
      </c>
      <c r="E3" s="2">
        <v>-1</v>
      </c>
      <c r="G3" t="s">
        <v>15</v>
      </c>
      <c r="H3" t="s">
        <v>16</v>
      </c>
    </row>
    <row r="4" spans="1:8">
      <c r="A4" t="s">
        <v>47</v>
      </c>
      <c r="B4" s="2">
        <v>1</v>
      </c>
      <c r="C4" s="2">
        <v>-1</v>
      </c>
      <c r="D4" s="2">
        <v>1</v>
      </c>
      <c r="E4" s="2">
        <v>-1</v>
      </c>
      <c r="F4" t="s">
        <v>48</v>
      </c>
      <c r="G4" t="s">
        <v>49</v>
      </c>
      <c r="H4" t="s">
        <v>50</v>
      </c>
    </row>
    <row r="5" spans="1:8">
      <c r="A5" t="s">
        <v>51</v>
      </c>
      <c r="B5" s="2">
        <v>1</v>
      </c>
      <c r="C5" s="2">
        <v>-1</v>
      </c>
      <c r="D5" s="2">
        <v>-1</v>
      </c>
      <c r="E5" s="2">
        <v>1</v>
      </c>
      <c r="F5" t="s">
        <v>52</v>
      </c>
      <c r="G5" t="s">
        <v>53</v>
      </c>
      <c r="H5" t="s">
        <v>54</v>
      </c>
    </row>
    <row r="6" spans="1:8">
      <c r="A6" t="s">
        <v>27</v>
      </c>
      <c r="B6" s="2">
        <v>1</v>
      </c>
      <c r="C6" s="2">
        <v>1</v>
      </c>
      <c r="D6" s="2">
        <v>1</v>
      </c>
      <c r="E6" s="2">
        <v>1</v>
      </c>
      <c r="F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C2D3-0955-4902-AB80-081FA4E0E0DB}">
  <dimension ref="A1:I7"/>
  <sheetViews>
    <sheetView workbookViewId="0">
      <selection activeCell="F7" sqref="F7"/>
    </sheetView>
  </sheetViews>
  <sheetFormatPr defaultRowHeight="14.45"/>
  <cols>
    <col min="7" max="7" width="7.7109375" bestFit="1" customWidth="1"/>
    <col min="8" max="8" width="10.7109375" bestFit="1" customWidth="1"/>
    <col min="9" max="9" width="19.28515625" bestFit="1" customWidth="1"/>
  </cols>
  <sheetData>
    <row r="1" spans="1:9">
      <c r="A1" t="s">
        <v>55</v>
      </c>
      <c r="B1" t="s">
        <v>1</v>
      </c>
      <c r="C1" t="s">
        <v>29</v>
      </c>
      <c r="D1" t="s">
        <v>30</v>
      </c>
      <c r="E1" t="s">
        <v>56</v>
      </c>
      <c r="F1" t="s">
        <v>57</v>
      </c>
      <c r="G1" t="s">
        <v>9</v>
      </c>
      <c r="H1" t="s">
        <v>10</v>
      </c>
      <c r="I1" t="s">
        <v>11</v>
      </c>
    </row>
    <row r="2" spans="1:9">
      <c r="A2" t="s">
        <v>45</v>
      </c>
      <c r="B2">
        <v>1</v>
      </c>
      <c r="C2">
        <v>1</v>
      </c>
      <c r="D2">
        <v>1</v>
      </c>
      <c r="E2">
        <v>1</v>
      </c>
      <c r="F2">
        <v>1</v>
      </c>
      <c r="I2" t="s">
        <v>58</v>
      </c>
    </row>
    <row r="3" spans="1:9">
      <c r="A3" t="s">
        <v>46</v>
      </c>
      <c r="B3">
        <v>1</v>
      </c>
      <c r="C3">
        <v>1</v>
      </c>
      <c r="D3">
        <v>1</v>
      </c>
      <c r="E3">
        <v>-1</v>
      </c>
      <c r="F3">
        <v>-1</v>
      </c>
    </row>
    <row r="4" spans="1:9">
      <c r="A4" t="s">
        <v>1</v>
      </c>
      <c r="B4">
        <v>2</v>
      </c>
      <c r="C4">
        <v>-1</v>
      </c>
      <c r="D4">
        <v>2</v>
      </c>
      <c r="E4">
        <v>0</v>
      </c>
      <c r="F4">
        <v>0</v>
      </c>
      <c r="I4" t="s">
        <v>59</v>
      </c>
    </row>
    <row r="5" spans="1:9">
      <c r="A5" t="s">
        <v>60</v>
      </c>
      <c r="B5">
        <v>3</v>
      </c>
      <c r="C5">
        <v>0</v>
      </c>
      <c r="D5">
        <v>-1</v>
      </c>
      <c r="E5">
        <v>1</v>
      </c>
      <c r="F5">
        <v>-1</v>
      </c>
      <c r="H5" t="s">
        <v>61</v>
      </c>
    </row>
    <row r="6" spans="1:9">
      <c r="A6" t="s">
        <v>62</v>
      </c>
      <c r="B6">
        <v>3</v>
      </c>
      <c r="C6">
        <v>0</v>
      </c>
      <c r="D6">
        <v>-1</v>
      </c>
      <c r="E6">
        <v>-1</v>
      </c>
      <c r="F6">
        <v>1</v>
      </c>
      <c r="G6" t="s">
        <v>63</v>
      </c>
      <c r="I6" t="s">
        <v>64</v>
      </c>
    </row>
    <row r="7" spans="1:9">
      <c r="A7" t="s">
        <v>27</v>
      </c>
      <c r="B7" s="3">
        <v>1</v>
      </c>
      <c r="C7" s="3">
        <v>8</v>
      </c>
      <c r="D7" s="3">
        <v>3</v>
      </c>
      <c r="E7" s="3">
        <v>6</v>
      </c>
      <c r="F7" s="3">
        <v>6</v>
      </c>
      <c r="G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CF7B-FD2B-4354-9E26-3C9C0FA8E119}">
  <dimension ref="A1:G5"/>
  <sheetViews>
    <sheetView workbookViewId="0">
      <selection activeCell="E1" sqref="E1"/>
    </sheetView>
  </sheetViews>
  <sheetFormatPr defaultRowHeight="14.45"/>
  <cols>
    <col min="5" max="5" width="12.42578125" bestFit="1" customWidth="1"/>
    <col min="6" max="6" width="10.140625" bestFit="1" customWidth="1"/>
    <col min="7" max="7" width="16.85546875" bestFit="1" customWidth="1"/>
  </cols>
  <sheetData>
    <row r="1" spans="1:7" ht="15.6">
      <c r="A1" s="4" t="s">
        <v>65</v>
      </c>
      <c r="B1" s="5" t="s">
        <v>1</v>
      </c>
      <c r="C1" s="10" t="s">
        <v>29</v>
      </c>
      <c r="D1" s="11" t="s">
        <v>33</v>
      </c>
      <c r="E1" s="15" t="s">
        <v>9</v>
      </c>
      <c r="F1" s="18" t="s">
        <v>10</v>
      </c>
      <c r="G1" s="18" t="s">
        <v>11</v>
      </c>
    </row>
    <row r="2" spans="1:7" ht="16.899999999999999">
      <c r="A2" s="6" t="s">
        <v>66</v>
      </c>
      <c r="B2" s="7">
        <v>1</v>
      </c>
      <c r="C2" s="7">
        <v>1</v>
      </c>
      <c r="D2" s="12">
        <v>1</v>
      </c>
      <c r="E2" s="20" t="s">
        <v>23</v>
      </c>
      <c r="F2" s="14"/>
      <c r="G2" s="13" t="s">
        <v>67</v>
      </c>
    </row>
    <row r="3" spans="1:7" ht="15.6">
      <c r="A3" s="6" t="s">
        <v>68</v>
      </c>
      <c r="B3" s="7">
        <v>1</v>
      </c>
      <c r="C3" s="7">
        <v>1</v>
      </c>
      <c r="D3" s="8">
        <v>-1</v>
      </c>
      <c r="E3" s="16"/>
      <c r="F3" s="13" t="s">
        <v>69</v>
      </c>
      <c r="G3" s="17"/>
    </row>
    <row r="4" spans="1:7" ht="16.149999999999999">
      <c r="A4" s="6" t="s">
        <v>1</v>
      </c>
      <c r="B4" s="7">
        <v>2</v>
      </c>
      <c r="C4" s="7">
        <v>-1</v>
      </c>
      <c r="D4" s="8">
        <v>0</v>
      </c>
      <c r="E4" s="3" t="s">
        <v>70</v>
      </c>
      <c r="F4" s="21" t="s">
        <v>18</v>
      </c>
      <c r="G4" s="19" t="s">
        <v>71</v>
      </c>
    </row>
    <row r="5" spans="1:7">
      <c r="A5" s="6" t="s">
        <v>27</v>
      </c>
      <c r="B5" s="7">
        <v>1</v>
      </c>
      <c r="C5" s="7">
        <v>2</v>
      </c>
      <c r="D5" s="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4648-40DB-4CEF-9949-7D934B16E94C}">
  <dimension ref="A1:H8"/>
  <sheetViews>
    <sheetView workbookViewId="0">
      <selection activeCell="I15" sqref="I15"/>
    </sheetView>
  </sheetViews>
  <sheetFormatPr defaultRowHeight="14.45"/>
  <cols>
    <col min="6" max="6" width="13.28515625" bestFit="1" customWidth="1"/>
    <col min="7" max="7" width="11.42578125" bestFit="1" customWidth="1"/>
    <col min="8" max="8" width="9.5703125" bestFit="1" customWidth="1"/>
  </cols>
  <sheetData>
    <row r="1" spans="1:8">
      <c r="A1" t="s">
        <v>72</v>
      </c>
      <c r="B1">
        <v>1</v>
      </c>
      <c r="C1" t="s">
        <v>73</v>
      </c>
      <c r="D1">
        <v>1</v>
      </c>
      <c r="E1" t="s">
        <v>74</v>
      </c>
      <c r="F1" t="s">
        <v>9</v>
      </c>
      <c r="G1" t="s">
        <v>10</v>
      </c>
      <c r="H1" t="s">
        <v>11</v>
      </c>
    </row>
    <row r="2" spans="1:8">
      <c r="A2" t="s">
        <v>75</v>
      </c>
      <c r="B2">
        <v>1</v>
      </c>
      <c r="H2" t="s">
        <v>76</v>
      </c>
    </row>
    <row r="3" spans="1:8">
      <c r="A3" t="s">
        <v>77</v>
      </c>
      <c r="B3">
        <v>1</v>
      </c>
      <c r="C3">
        <v>1</v>
      </c>
      <c r="D3" t="s">
        <v>78</v>
      </c>
      <c r="E3">
        <v>-1</v>
      </c>
      <c r="G3" t="s">
        <v>15</v>
      </c>
    </row>
    <row r="4" spans="1:8">
      <c r="A4" t="s">
        <v>79</v>
      </c>
      <c r="B4">
        <v>2</v>
      </c>
      <c r="C4" t="s">
        <v>80</v>
      </c>
      <c r="D4" t="s">
        <v>78</v>
      </c>
      <c r="E4">
        <v>0</v>
      </c>
      <c r="F4" t="s">
        <v>25</v>
      </c>
      <c r="G4" t="s">
        <v>18</v>
      </c>
      <c r="H4" t="s">
        <v>43</v>
      </c>
    </row>
    <row r="5" spans="1:8">
      <c r="A5" t="s">
        <v>81</v>
      </c>
      <c r="B5">
        <v>2</v>
      </c>
      <c r="C5" t="s">
        <v>82</v>
      </c>
      <c r="D5" t="s">
        <v>78</v>
      </c>
      <c r="E5">
        <v>0</v>
      </c>
      <c r="H5" t="s">
        <v>83</v>
      </c>
    </row>
    <row r="6" spans="1:8">
      <c r="A6" t="s">
        <v>84</v>
      </c>
      <c r="B6">
        <v>2</v>
      </c>
      <c r="C6" t="s">
        <v>85</v>
      </c>
      <c r="D6" t="s">
        <v>78</v>
      </c>
      <c r="E6">
        <v>0</v>
      </c>
    </row>
    <row r="7" spans="1:8">
      <c r="A7" t="s">
        <v>78</v>
      </c>
      <c r="B7" t="s">
        <v>78</v>
      </c>
      <c r="C7" t="s">
        <v>78</v>
      </c>
      <c r="D7" t="s">
        <v>78</v>
      </c>
      <c r="E7" t="s">
        <v>78</v>
      </c>
    </row>
    <row r="8" spans="1:8">
      <c r="A8" t="s">
        <v>27</v>
      </c>
      <c r="B8">
        <v>1</v>
      </c>
      <c r="C8">
        <v>2</v>
      </c>
      <c r="D8">
        <v>1</v>
      </c>
      <c r="E8">
        <v>1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867A-8FC0-41FD-BE04-F88CA7F2153C}">
  <dimension ref="A1:N12"/>
  <sheetViews>
    <sheetView workbookViewId="0">
      <selection activeCell="K12" sqref="K12"/>
    </sheetView>
  </sheetViews>
  <sheetFormatPr defaultRowHeight="14.45"/>
  <cols>
    <col min="12" max="12" width="6.42578125" bestFit="1" customWidth="1"/>
    <col min="13" max="13" width="10.140625" bestFit="1" customWidth="1"/>
    <col min="14" max="14" width="17.85546875" bestFit="1" customWidth="1"/>
  </cols>
  <sheetData>
    <row r="1" spans="1:14">
      <c r="A1" t="s">
        <v>86</v>
      </c>
      <c r="B1" t="s">
        <v>1</v>
      </c>
      <c r="C1" t="s">
        <v>29</v>
      </c>
      <c r="D1" t="s">
        <v>30</v>
      </c>
      <c r="E1" t="s">
        <v>87</v>
      </c>
      <c r="F1" t="s">
        <v>30</v>
      </c>
      <c r="G1" t="s">
        <v>5</v>
      </c>
      <c r="H1" t="s">
        <v>56</v>
      </c>
      <c r="I1" t="s">
        <v>88</v>
      </c>
      <c r="J1" t="s">
        <v>31</v>
      </c>
      <c r="K1" t="s">
        <v>57</v>
      </c>
      <c r="L1" t="s">
        <v>9</v>
      </c>
      <c r="M1" t="s">
        <v>10</v>
      </c>
      <c r="N1" t="s">
        <v>11</v>
      </c>
    </row>
    <row r="2" spans="1:14">
      <c r="A2" t="s">
        <v>89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N2" t="s">
        <v>58</v>
      </c>
    </row>
    <row r="3" spans="1:14">
      <c r="A3" t="s">
        <v>90</v>
      </c>
      <c r="B3">
        <v>1</v>
      </c>
      <c r="C3">
        <v>1</v>
      </c>
      <c r="D3">
        <v>-1</v>
      </c>
      <c r="E3">
        <v>-1</v>
      </c>
      <c r="F3">
        <v>1</v>
      </c>
      <c r="G3">
        <v>1</v>
      </c>
      <c r="H3">
        <v>-1</v>
      </c>
      <c r="I3">
        <v>1</v>
      </c>
      <c r="J3">
        <v>1</v>
      </c>
      <c r="K3">
        <v>-1</v>
      </c>
    </row>
    <row r="4" spans="1:14">
      <c r="A4" t="s">
        <v>91</v>
      </c>
      <c r="B4">
        <v>2</v>
      </c>
      <c r="C4">
        <v>-1</v>
      </c>
      <c r="D4">
        <v>0</v>
      </c>
      <c r="E4">
        <v>0</v>
      </c>
      <c r="F4">
        <v>2</v>
      </c>
      <c r="G4">
        <v>2</v>
      </c>
      <c r="H4">
        <v>0</v>
      </c>
      <c r="I4">
        <v>-1</v>
      </c>
      <c r="J4">
        <v>2</v>
      </c>
      <c r="K4">
        <v>0</v>
      </c>
      <c r="N4" t="s">
        <v>59</v>
      </c>
    </row>
    <row r="5" spans="1:14">
      <c r="A5" t="s">
        <v>92</v>
      </c>
      <c r="B5">
        <v>3</v>
      </c>
      <c r="C5">
        <v>0</v>
      </c>
      <c r="D5">
        <v>-1</v>
      </c>
      <c r="E5">
        <v>1</v>
      </c>
      <c r="F5">
        <v>-1</v>
      </c>
      <c r="G5">
        <v>3</v>
      </c>
      <c r="H5">
        <v>1</v>
      </c>
      <c r="I5">
        <v>0</v>
      </c>
      <c r="J5">
        <v>-1</v>
      </c>
      <c r="K5">
        <v>-1</v>
      </c>
      <c r="M5" t="s">
        <v>61</v>
      </c>
    </row>
    <row r="6" spans="1:14">
      <c r="A6" t="s">
        <v>93</v>
      </c>
      <c r="B6">
        <v>3</v>
      </c>
      <c r="C6">
        <v>0</v>
      </c>
      <c r="D6">
        <v>1</v>
      </c>
      <c r="E6">
        <v>-1</v>
      </c>
      <c r="F6">
        <v>-1</v>
      </c>
      <c r="G6">
        <v>3</v>
      </c>
      <c r="H6">
        <v>-1</v>
      </c>
      <c r="I6">
        <v>0</v>
      </c>
      <c r="J6">
        <v>-1</v>
      </c>
      <c r="K6">
        <v>1</v>
      </c>
      <c r="N6" t="s">
        <v>64</v>
      </c>
    </row>
    <row r="7" spans="1:14">
      <c r="A7" t="s">
        <v>94</v>
      </c>
      <c r="B7">
        <v>1</v>
      </c>
      <c r="C7">
        <v>1</v>
      </c>
      <c r="D7">
        <v>1</v>
      </c>
      <c r="E7">
        <v>1</v>
      </c>
      <c r="F7">
        <v>1</v>
      </c>
      <c r="G7">
        <v>-1</v>
      </c>
      <c r="H7">
        <v>-1</v>
      </c>
      <c r="I7">
        <v>-1</v>
      </c>
      <c r="J7">
        <v>-1</v>
      </c>
      <c r="K7">
        <v>-1</v>
      </c>
    </row>
    <row r="8" spans="1:14">
      <c r="A8" t="s">
        <v>95</v>
      </c>
      <c r="B8">
        <v>1</v>
      </c>
      <c r="C8">
        <v>1</v>
      </c>
      <c r="D8">
        <v>-1</v>
      </c>
      <c r="E8">
        <v>-1</v>
      </c>
      <c r="F8">
        <v>1</v>
      </c>
      <c r="G8">
        <v>-1</v>
      </c>
      <c r="H8">
        <v>1</v>
      </c>
      <c r="I8">
        <v>-1</v>
      </c>
      <c r="J8">
        <v>-1</v>
      </c>
      <c r="K8">
        <v>1</v>
      </c>
    </row>
    <row r="9" spans="1:14">
      <c r="A9" t="s">
        <v>96</v>
      </c>
      <c r="B9">
        <v>2</v>
      </c>
      <c r="C9">
        <v>-1</v>
      </c>
      <c r="D9">
        <v>0</v>
      </c>
      <c r="E9">
        <v>0</v>
      </c>
      <c r="F9">
        <v>2</v>
      </c>
      <c r="G9">
        <v>-2</v>
      </c>
      <c r="H9">
        <v>0</v>
      </c>
      <c r="I9">
        <v>1</v>
      </c>
      <c r="J9">
        <v>-2</v>
      </c>
      <c r="K9">
        <v>0</v>
      </c>
    </row>
    <row r="10" spans="1:14">
      <c r="A10" t="s">
        <v>97</v>
      </c>
      <c r="B10">
        <v>3</v>
      </c>
      <c r="C10">
        <v>0</v>
      </c>
      <c r="D10">
        <v>-1</v>
      </c>
      <c r="E10">
        <v>1</v>
      </c>
      <c r="F10">
        <v>-1</v>
      </c>
      <c r="G10">
        <v>-3</v>
      </c>
      <c r="H10">
        <v>-1</v>
      </c>
      <c r="I10">
        <v>0</v>
      </c>
      <c r="J10">
        <v>1</v>
      </c>
      <c r="K10">
        <v>1</v>
      </c>
      <c r="L10" t="s">
        <v>98</v>
      </c>
    </row>
    <row r="11" spans="1:14">
      <c r="A11" t="s">
        <v>99</v>
      </c>
      <c r="B11">
        <v>3</v>
      </c>
      <c r="C11">
        <v>0</v>
      </c>
      <c r="D11">
        <v>1</v>
      </c>
      <c r="E11">
        <v>-1</v>
      </c>
      <c r="F11">
        <v>-1</v>
      </c>
      <c r="G11">
        <v>-3</v>
      </c>
      <c r="H11">
        <v>1</v>
      </c>
      <c r="I11">
        <v>0</v>
      </c>
      <c r="J11">
        <v>1</v>
      </c>
      <c r="K11">
        <v>-1</v>
      </c>
    </row>
    <row r="12" spans="1:14">
      <c r="A12" t="s">
        <v>27</v>
      </c>
      <c r="B12">
        <v>1</v>
      </c>
      <c r="C12">
        <v>8</v>
      </c>
      <c r="D12">
        <v>6</v>
      </c>
      <c r="E12">
        <v>6</v>
      </c>
      <c r="F12">
        <v>3</v>
      </c>
      <c r="G12">
        <v>1</v>
      </c>
      <c r="H12">
        <v>6</v>
      </c>
      <c r="I12">
        <v>8</v>
      </c>
      <c r="J12">
        <v>3</v>
      </c>
      <c r="K1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118B-9EBF-455E-A192-0B0871DF938E}">
  <dimension ref="A1:L12"/>
  <sheetViews>
    <sheetView workbookViewId="0">
      <selection activeCell="E5" sqref="E5"/>
    </sheetView>
  </sheetViews>
  <sheetFormatPr defaultRowHeight="14.45"/>
  <cols>
    <col min="10" max="10" width="6.42578125" bestFit="1" customWidth="1"/>
    <col min="11" max="11" width="10.140625" bestFit="1" customWidth="1"/>
    <col min="12" max="12" width="9.7109375" bestFit="1" customWidth="1"/>
  </cols>
  <sheetData>
    <row r="1" spans="1:12">
      <c r="A1" t="s">
        <v>100</v>
      </c>
      <c r="B1" t="s">
        <v>1</v>
      </c>
      <c r="C1" t="s">
        <v>87</v>
      </c>
      <c r="D1" t="s">
        <v>30</v>
      </c>
      <c r="E1" t="s">
        <v>87</v>
      </c>
      <c r="F1" t="s">
        <v>5</v>
      </c>
      <c r="G1" t="s">
        <v>56</v>
      </c>
      <c r="H1" t="s">
        <v>31</v>
      </c>
      <c r="I1" t="s">
        <v>56</v>
      </c>
      <c r="J1" t="s">
        <v>9</v>
      </c>
      <c r="K1" t="s">
        <v>10</v>
      </c>
      <c r="L1" t="s">
        <v>11</v>
      </c>
    </row>
    <row r="2" spans="1:12">
      <c r="A2" t="s">
        <v>101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K2" t="s">
        <v>15</v>
      </c>
      <c r="L2" t="s">
        <v>35</v>
      </c>
    </row>
    <row r="3" spans="1:12">
      <c r="A3" t="s">
        <v>102</v>
      </c>
      <c r="B3">
        <v>1</v>
      </c>
      <c r="C3">
        <v>-1</v>
      </c>
      <c r="D3">
        <v>1</v>
      </c>
      <c r="E3">
        <v>-1</v>
      </c>
      <c r="F3">
        <v>1</v>
      </c>
      <c r="G3">
        <v>-1</v>
      </c>
      <c r="H3">
        <v>1</v>
      </c>
      <c r="I3">
        <v>-1</v>
      </c>
      <c r="L3" t="s">
        <v>39</v>
      </c>
    </row>
    <row r="4" spans="1:12">
      <c r="A4" t="s">
        <v>91</v>
      </c>
      <c r="B4">
        <v>2</v>
      </c>
      <c r="C4">
        <v>0</v>
      </c>
      <c r="D4">
        <v>-2</v>
      </c>
      <c r="E4">
        <v>0</v>
      </c>
      <c r="F4">
        <v>2</v>
      </c>
      <c r="G4">
        <v>0</v>
      </c>
      <c r="H4">
        <v>-2</v>
      </c>
      <c r="I4">
        <v>0</v>
      </c>
    </row>
    <row r="5" spans="1:12">
      <c r="A5" t="s">
        <v>91</v>
      </c>
      <c r="B5">
        <v>1</v>
      </c>
      <c r="C5" t="s">
        <v>5</v>
      </c>
      <c r="D5">
        <v>-1</v>
      </c>
      <c r="E5" t="s">
        <v>103</v>
      </c>
      <c r="F5">
        <v>1</v>
      </c>
      <c r="G5" t="s">
        <v>5</v>
      </c>
      <c r="H5">
        <v>-1</v>
      </c>
      <c r="I5" t="s">
        <v>103</v>
      </c>
      <c r="K5" t="s">
        <v>18</v>
      </c>
      <c r="L5" t="s">
        <v>43</v>
      </c>
    </row>
    <row r="6" spans="1:12">
      <c r="A6" t="s">
        <v>91</v>
      </c>
      <c r="B6">
        <v>1</v>
      </c>
      <c r="C6" t="s">
        <v>103</v>
      </c>
      <c r="D6">
        <v>-1</v>
      </c>
      <c r="E6" t="s">
        <v>5</v>
      </c>
      <c r="F6">
        <v>1</v>
      </c>
      <c r="G6" t="s">
        <v>103</v>
      </c>
      <c r="H6">
        <v>-1</v>
      </c>
      <c r="I6" t="s">
        <v>5</v>
      </c>
    </row>
    <row r="7" spans="1:12">
      <c r="A7" t="s">
        <v>104</v>
      </c>
      <c r="B7">
        <v>1</v>
      </c>
      <c r="C7">
        <v>1</v>
      </c>
      <c r="D7">
        <v>1</v>
      </c>
      <c r="E7">
        <v>1</v>
      </c>
      <c r="F7">
        <v>-1</v>
      </c>
      <c r="G7">
        <v>-1</v>
      </c>
      <c r="H7">
        <v>-1</v>
      </c>
      <c r="I7">
        <v>-1</v>
      </c>
      <c r="J7" t="s">
        <v>23</v>
      </c>
    </row>
    <row r="8" spans="1:12">
      <c r="A8" t="s">
        <v>105</v>
      </c>
      <c r="B8">
        <v>1</v>
      </c>
      <c r="C8">
        <v>-1</v>
      </c>
      <c r="D8">
        <v>1</v>
      </c>
      <c r="E8">
        <v>-1</v>
      </c>
      <c r="F8">
        <v>-1</v>
      </c>
      <c r="G8">
        <v>1</v>
      </c>
      <c r="H8">
        <v>-1</v>
      </c>
      <c r="I8">
        <v>1</v>
      </c>
    </row>
    <row r="9" spans="1:12">
      <c r="A9" t="s">
        <v>96</v>
      </c>
      <c r="B9">
        <v>2</v>
      </c>
      <c r="C9">
        <v>0</v>
      </c>
      <c r="D9">
        <v>-2</v>
      </c>
      <c r="E9">
        <v>0</v>
      </c>
      <c r="F9">
        <v>-2</v>
      </c>
      <c r="G9">
        <v>0</v>
      </c>
      <c r="H9">
        <v>2</v>
      </c>
      <c r="I9">
        <v>0</v>
      </c>
    </row>
    <row r="10" spans="1:12">
      <c r="A10" t="s">
        <v>96</v>
      </c>
      <c r="B10">
        <v>1</v>
      </c>
      <c r="C10" t="s">
        <v>5</v>
      </c>
      <c r="D10">
        <v>-1</v>
      </c>
      <c r="E10" t="s">
        <v>103</v>
      </c>
      <c r="F10">
        <v>-1</v>
      </c>
      <c r="G10" t="s">
        <v>103</v>
      </c>
      <c r="H10">
        <v>1</v>
      </c>
      <c r="I10" t="s">
        <v>5</v>
      </c>
      <c r="J10" t="s">
        <v>25</v>
      </c>
    </row>
    <row r="11" spans="1:12">
      <c r="A11" t="s">
        <v>96</v>
      </c>
      <c r="B11">
        <v>1</v>
      </c>
      <c r="C11" t="s">
        <v>103</v>
      </c>
      <c r="D11">
        <v>-1</v>
      </c>
      <c r="E11" t="s">
        <v>5</v>
      </c>
      <c r="F11">
        <v>-1</v>
      </c>
      <c r="G11" t="s">
        <v>5</v>
      </c>
      <c r="H11">
        <v>1</v>
      </c>
      <c r="I11" t="s">
        <v>103</v>
      </c>
    </row>
    <row r="12" spans="1:12">
      <c r="A12" t="s">
        <v>27</v>
      </c>
      <c r="B12">
        <v>1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7029-DC71-4800-BA1F-3011AE8140C3}">
  <dimension ref="A1:L14"/>
  <sheetViews>
    <sheetView workbookViewId="0">
      <selection activeCell="E1" sqref="E1"/>
    </sheetView>
  </sheetViews>
  <sheetFormatPr defaultRowHeight="14.45"/>
  <sheetData>
    <row r="1" spans="1:12" ht="15.6">
      <c r="A1" s="4" t="s">
        <v>106</v>
      </c>
      <c r="B1" s="5" t="s">
        <v>1</v>
      </c>
      <c r="C1" s="5" t="s">
        <v>107</v>
      </c>
      <c r="D1" s="24" t="s">
        <v>107</v>
      </c>
      <c r="E1" s="5" t="s">
        <v>108</v>
      </c>
      <c r="F1" s="20" t="s">
        <v>31</v>
      </c>
      <c r="G1" s="15" t="s">
        <v>109</v>
      </c>
      <c r="H1" s="25" t="s">
        <v>110</v>
      </c>
      <c r="I1" s="15" t="s">
        <v>33</v>
      </c>
      <c r="J1" s="31" t="s">
        <v>9</v>
      </c>
      <c r="K1" s="32" t="s">
        <v>10</v>
      </c>
      <c r="L1" s="33" t="s">
        <v>11</v>
      </c>
    </row>
    <row r="2" spans="1:12" ht="16.899999999999999">
      <c r="A2" s="6" t="s">
        <v>111</v>
      </c>
      <c r="B2" s="7">
        <v>1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12">
        <v>1</v>
      </c>
      <c r="J2" s="26"/>
      <c r="L2" s="1" t="s">
        <v>112</v>
      </c>
    </row>
    <row r="3" spans="1:12" ht="15.6">
      <c r="A3" s="6" t="s">
        <v>113</v>
      </c>
      <c r="B3" s="7">
        <v>1</v>
      </c>
      <c r="C3" s="7">
        <v>1</v>
      </c>
      <c r="D3" s="7">
        <v>1</v>
      </c>
      <c r="E3" s="7">
        <v>-1</v>
      </c>
      <c r="F3" s="7">
        <v>1</v>
      </c>
      <c r="G3" s="7">
        <v>1</v>
      </c>
      <c r="H3" s="7">
        <v>1</v>
      </c>
      <c r="I3" s="8">
        <v>-1</v>
      </c>
      <c r="K3" s="6" t="s">
        <v>114</v>
      </c>
    </row>
    <row r="4" spans="1:12" ht="15.6">
      <c r="A4" s="6" t="s">
        <v>115</v>
      </c>
      <c r="B4" s="7">
        <v>2</v>
      </c>
      <c r="C4" s="27">
        <f>2*COS(RADIANS(72))</f>
        <v>0.6180339887498949</v>
      </c>
      <c r="D4" s="27">
        <f>2*COS(RADIANS(144))</f>
        <v>-1.6180339887498947</v>
      </c>
      <c r="E4" s="7">
        <v>0</v>
      </c>
      <c r="F4" s="7">
        <v>2</v>
      </c>
      <c r="G4" s="27">
        <f>2*COS(RADIANS(72))</f>
        <v>0.6180339887498949</v>
      </c>
      <c r="H4" s="27">
        <f>2*COS(RADIANS(144))</f>
        <v>-1.6180339887498947</v>
      </c>
      <c r="I4" s="8">
        <v>0</v>
      </c>
      <c r="J4" s="3"/>
      <c r="K4" s="28"/>
    </row>
    <row r="5" spans="1:12" ht="15.6">
      <c r="A5" s="6" t="s">
        <v>116</v>
      </c>
      <c r="B5" s="7">
        <v>2</v>
      </c>
      <c r="C5" s="27">
        <f>2*COS(RADIANS(144))</f>
        <v>-1.6180339887498947</v>
      </c>
      <c r="D5" s="27">
        <f>2*COS(RADIANS(72))</f>
        <v>0.6180339887498949</v>
      </c>
      <c r="E5" s="7">
        <v>0</v>
      </c>
      <c r="F5" s="7">
        <v>2</v>
      </c>
      <c r="G5" s="27">
        <f>2*COS(RADIANS(144))</f>
        <v>-1.6180339887498947</v>
      </c>
      <c r="H5" s="27">
        <f>2*COS(RADIANS(72))</f>
        <v>0.6180339887498949</v>
      </c>
      <c r="I5" s="8">
        <v>0</v>
      </c>
      <c r="J5" s="3"/>
      <c r="K5" s="28"/>
    </row>
    <row r="6" spans="1:12" ht="15.6">
      <c r="A6" s="6" t="s">
        <v>117</v>
      </c>
      <c r="B6" s="7">
        <v>2</v>
      </c>
      <c r="C6" s="29" t="s">
        <v>118</v>
      </c>
      <c r="D6" s="29" t="s">
        <v>119</v>
      </c>
      <c r="E6" s="7">
        <v>0</v>
      </c>
      <c r="F6" s="7">
        <v>2</v>
      </c>
      <c r="G6" s="29" t="s">
        <v>118</v>
      </c>
      <c r="H6" s="29" t="s">
        <v>119</v>
      </c>
      <c r="I6" s="8">
        <v>0</v>
      </c>
      <c r="J6" s="23" t="s">
        <v>70</v>
      </c>
      <c r="K6" s="1"/>
    </row>
    <row r="7" spans="1:12" ht="16.899999999999999">
      <c r="A7" s="6" t="s">
        <v>120</v>
      </c>
      <c r="B7" s="7">
        <v>2</v>
      </c>
      <c r="C7" s="29" t="s">
        <v>119</v>
      </c>
      <c r="D7" s="29" t="s">
        <v>118</v>
      </c>
      <c r="E7" s="7">
        <v>0</v>
      </c>
      <c r="F7" s="7">
        <v>2</v>
      </c>
      <c r="G7" s="29" t="s">
        <v>119</v>
      </c>
      <c r="H7" s="29" t="s">
        <v>118</v>
      </c>
      <c r="I7" s="8">
        <v>0</v>
      </c>
      <c r="J7" s="22"/>
      <c r="L7" s="3" t="s">
        <v>121</v>
      </c>
    </row>
    <row r="8" spans="1:12" ht="15.6">
      <c r="A8" s="6" t="s">
        <v>122</v>
      </c>
      <c r="B8" s="7">
        <v>1</v>
      </c>
      <c r="C8" s="7">
        <v>1</v>
      </c>
      <c r="D8" s="7">
        <v>1</v>
      </c>
      <c r="E8" s="7">
        <v>1</v>
      </c>
      <c r="F8" s="7">
        <v>-1</v>
      </c>
      <c r="G8" s="7">
        <v>-1</v>
      </c>
      <c r="H8" s="7">
        <v>-1</v>
      </c>
      <c r="I8" s="8">
        <v>-1</v>
      </c>
      <c r="J8" s="6"/>
      <c r="K8" s="1"/>
    </row>
    <row r="9" spans="1:12" ht="15.6">
      <c r="A9" s="6" t="s">
        <v>123</v>
      </c>
      <c r="B9" s="7">
        <v>1</v>
      </c>
      <c r="C9" s="7">
        <v>1</v>
      </c>
      <c r="D9" s="7">
        <v>1</v>
      </c>
      <c r="E9" s="7">
        <v>-1</v>
      </c>
      <c r="F9" s="7">
        <v>-1</v>
      </c>
      <c r="G9" s="7">
        <v>-1</v>
      </c>
      <c r="H9" s="7">
        <v>-1</v>
      </c>
      <c r="I9" s="8">
        <v>1</v>
      </c>
      <c r="J9" s="6" t="s">
        <v>23</v>
      </c>
      <c r="K9" s="1"/>
    </row>
    <row r="10" spans="1:12" ht="15.6">
      <c r="A10" s="6" t="s">
        <v>124</v>
      </c>
      <c r="B10" s="7">
        <v>2</v>
      </c>
      <c r="C10" s="27">
        <f>2*COS(RADIANS(72))</f>
        <v>0.6180339887498949</v>
      </c>
      <c r="D10" s="27">
        <f>2*COS(RADIANS(144))</f>
        <v>-1.6180339887498947</v>
      </c>
      <c r="E10" s="7">
        <v>0</v>
      </c>
      <c r="F10" s="7">
        <v>-2</v>
      </c>
      <c r="G10" s="27">
        <f>-2*COS(RADIANS(72))</f>
        <v>-0.6180339887498949</v>
      </c>
      <c r="H10" s="27">
        <f>-2*COS(RADIANS(144))</f>
        <v>1.6180339887498947</v>
      </c>
      <c r="I10" s="8">
        <v>0</v>
      </c>
      <c r="J10" s="23"/>
      <c r="K10" s="3"/>
    </row>
    <row r="11" spans="1:12" ht="15.6">
      <c r="A11" s="6" t="s">
        <v>125</v>
      </c>
      <c r="B11" s="7">
        <v>2</v>
      </c>
      <c r="C11" s="27">
        <f>2*COS(RADIANS(144))</f>
        <v>-1.6180339887498947</v>
      </c>
      <c r="D11" s="27">
        <f>2*COS(RADIANS(72))</f>
        <v>0.6180339887498949</v>
      </c>
      <c r="E11" s="7">
        <v>0</v>
      </c>
      <c r="F11" s="7">
        <v>-2</v>
      </c>
      <c r="G11" s="27">
        <f>-2*COS(RADIANS(144))</f>
        <v>1.6180339887498947</v>
      </c>
      <c r="H11" s="27">
        <f>-2*COS(RADIANS(72))</f>
        <v>-0.6180339887498949</v>
      </c>
      <c r="I11" s="7">
        <v>0</v>
      </c>
      <c r="J11" s="22"/>
      <c r="K11" s="3"/>
    </row>
    <row r="12" spans="1:12" ht="15.6">
      <c r="A12" s="6" t="s">
        <v>126</v>
      </c>
      <c r="B12" s="7">
        <v>2</v>
      </c>
      <c r="C12" s="29" t="s">
        <v>118</v>
      </c>
      <c r="D12" s="29" t="s">
        <v>119</v>
      </c>
      <c r="E12" s="7">
        <v>0</v>
      </c>
      <c r="F12" s="7">
        <v>-2</v>
      </c>
      <c r="G12" s="30" t="s">
        <v>127</v>
      </c>
      <c r="H12" s="30" t="s">
        <v>128</v>
      </c>
      <c r="I12" s="8">
        <v>0</v>
      </c>
      <c r="K12" s="23" t="s">
        <v>129</v>
      </c>
      <c r="L12" s="3" t="s">
        <v>130</v>
      </c>
    </row>
    <row r="13" spans="1:12" ht="15.6">
      <c r="A13" s="6" t="s">
        <v>131</v>
      </c>
      <c r="B13" s="7">
        <v>2</v>
      </c>
      <c r="C13" s="29" t="s">
        <v>119</v>
      </c>
      <c r="D13" s="29" t="s">
        <v>118</v>
      </c>
      <c r="E13" s="7">
        <v>0</v>
      </c>
      <c r="F13" s="7">
        <v>-2</v>
      </c>
      <c r="G13" s="30" t="s">
        <v>128</v>
      </c>
      <c r="H13" s="30" t="s">
        <v>127</v>
      </c>
      <c r="I13" s="7">
        <v>0</v>
      </c>
      <c r="J13" s="22"/>
      <c r="K13" s="3"/>
    </row>
    <row r="14" spans="1:12">
      <c r="A14" s="6" t="s">
        <v>27</v>
      </c>
      <c r="B14" s="18">
        <v>1</v>
      </c>
      <c r="C14" s="18">
        <v>2</v>
      </c>
      <c r="D14" s="18">
        <f>SUM(B14:C14)</f>
        <v>3</v>
      </c>
      <c r="E14" s="18">
        <v>5</v>
      </c>
      <c r="F14" s="18">
        <v>1</v>
      </c>
      <c r="G14" s="18">
        <v>2</v>
      </c>
      <c r="H14" s="18">
        <v>2</v>
      </c>
      <c r="I14" s="18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CC1A-7706-4998-9A94-D42E1EE53E18}">
  <dimension ref="A1:I7"/>
  <sheetViews>
    <sheetView workbookViewId="0">
      <selection sqref="A1:XFD1048576"/>
    </sheetView>
  </sheetViews>
  <sheetFormatPr defaultRowHeight="14.45"/>
  <sheetData>
    <row r="1" spans="1:9" ht="15.6">
      <c r="A1" s="40" t="s">
        <v>132</v>
      </c>
      <c r="B1" s="15" t="s">
        <v>1</v>
      </c>
      <c r="C1" s="15" t="s">
        <v>87</v>
      </c>
      <c r="D1" s="41" t="s">
        <v>30</v>
      </c>
      <c r="E1" s="39" t="s">
        <v>33</v>
      </c>
      <c r="F1" s="16" t="s">
        <v>57</v>
      </c>
      <c r="G1" s="40" t="s">
        <v>9</v>
      </c>
      <c r="H1" s="42" t="s">
        <v>10</v>
      </c>
      <c r="I1" s="45" t="s">
        <v>11</v>
      </c>
    </row>
    <row r="2" spans="1:9" ht="16.899999999999999">
      <c r="A2" s="43" t="s">
        <v>66</v>
      </c>
      <c r="B2" s="7">
        <v>1</v>
      </c>
      <c r="C2" s="7">
        <v>1</v>
      </c>
      <c r="D2" s="7">
        <v>1</v>
      </c>
      <c r="E2" s="7">
        <v>1</v>
      </c>
      <c r="F2" s="12">
        <v>1</v>
      </c>
      <c r="G2" s="44" t="s">
        <v>23</v>
      </c>
      <c r="I2" s="3" t="s">
        <v>133</v>
      </c>
    </row>
    <row r="3" spans="1:9" ht="15.6">
      <c r="A3" s="43" t="s">
        <v>68</v>
      </c>
      <c r="B3" s="7">
        <v>1</v>
      </c>
      <c r="C3" s="7">
        <v>1</v>
      </c>
      <c r="D3" s="7">
        <v>1</v>
      </c>
      <c r="E3" s="7">
        <v>-1</v>
      </c>
      <c r="F3" s="8">
        <v>-1</v>
      </c>
      <c r="G3" s="43"/>
      <c r="H3" t="s">
        <v>15</v>
      </c>
      <c r="I3" s="3"/>
    </row>
    <row r="4" spans="1:9" ht="16.899999999999999">
      <c r="A4" s="43" t="s">
        <v>134</v>
      </c>
      <c r="B4" s="7">
        <v>1</v>
      </c>
      <c r="C4" s="7">
        <v>-1</v>
      </c>
      <c r="D4" s="7">
        <v>1</v>
      </c>
      <c r="E4" s="7">
        <v>1</v>
      </c>
      <c r="F4" s="8">
        <v>-1</v>
      </c>
      <c r="G4" s="43"/>
      <c r="I4" s="3" t="s">
        <v>135</v>
      </c>
    </row>
    <row r="5" spans="1:9" ht="15.6">
      <c r="A5" s="43" t="s">
        <v>136</v>
      </c>
      <c r="B5" s="7">
        <v>1</v>
      </c>
      <c r="C5" s="7">
        <v>-1</v>
      </c>
      <c r="D5" s="7">
        <v>1</v>
      </c>
      <c r="E5" s="7">
        <v>-1</v>
      </c>
      <c r="F5" s="8">
        <v>1</v>
      </c>
      <c r="G5" s="43"/>
      <c r="I5" s="3" t="s">
        <v>16</v>
      </c>
    </row>
    <row r="6" spans="1:9" ht="15.6">
      <c r="A6" s="43" t="s">
        <v>1</v>
      </c>
      <c r="B6" s="46">
        <v>2</v>
      </c>
      <c r="C6" s="47">
        <v>0</v>
      </c>
      <c r="D6" s="47">
        <v>-2</v>
      </c>
      <c r="E6" s="47">
        <v>0</v>
      </c>
      <c r="F6" s="47">
        <v>0</v>
      </c>
      <c r="G6" s="48" t="s">
        <v>137</v>
      </c>
      <c r="H6" t="s">
        <v>138</v>
      </c>
      <c r="I6" s="49" t="s">
        <v>139</v>
      </c>
    </row>
    <row r="7" spans="1:9">
      <c r="A7" s="43" t="s">
        <v>27</v>
      </c>
      <c r="B7" s="7">
        <v>1</v>
      </c>
      <c r="C7" s="7">
        <v>2</v>
      </c>
      <c r="D7" s="7">
        <v>1</v>
      </c>
      <c r="E7" s="7">
        <v>2</v>
      </c>
      <c r="F7" s="7">
        <v>2</v>
      </c>
      <c r="G7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9F9A-18DD-46EE-AF5F-CBE18D60EF2C}">
  <dimension ref="A1:N12"/>
  <sheetViews>
    <sheetView workbookViewId="0">
      <selection activeCell="K12" sqref="K12"/>
    </sheetView>
  </sheetViews>
  <sheetFormatPr defaultRowHeight="14.45"/>
  <sheetData>
    <row r="1" spans="1:14">
      <c r="A1" s="50" t="s">
        <v>140</v>
      </c>
      <c r="B1" s="51" t="s">
        <v>1</v>
      </c>
      <c r="C1" s="5" t="s">
        <v>87</v>
      </c>
      <c r="D1" s="24" t="s">
        <v>30</v>
      </c>
      <c r="E1" s="52" t="s">
        <v>141</v>
      </c>
      <c r="F1" s="20" t="s">
        <v>108</v>
      </c>
      <c r="G1" s="51" t="s">
        <v>5</v>
      </c>
      <c r="H1" s="25" t="s">
        <v>56</v>
      </c>
      <c r="I1" s="51" t="s">
        <v>31</v>
      </c>
      <c r="J1" s="52" t="s">
        <v>33</v>
      </c>
      <c r="K1" s="53" t="s">
        <v>57</v>
      </c>
      <c r="L1" s="54" t="s">
        <v>9</v>
      </c>
      <c r="M1" s="55" t="s">
        <v>10</v>
      </c>
      <c r="N1" t="s">
        <v>11</v>
      </c>
    </row>
    <row r="2" spans="1:14" ht="16.899999999999999">
      <c r="A2" s="56" t="s">
        <v>142</v>
      </c>
      <c r="B2" s="57">
        <v>1</v>
      </c>
      <c r="C2" s="57">
        <v>1</v>
      </c>
      <c r="D2" s="57">
        <v>1</v>
      </c>
      <c r="E2" s="57">
        <v>1</v>
      </c>
      <c r="F2" s="57">
        <v>1</v>
      </c>
      <c r="G2" s="57">
        <v>1</v>
      </c>
      <c r="H2" s="57">
        <v>1</v>
      </c>
      <c r="I2" s="57">
        <v>1</v>
      </c>
      <c r="J2" s="57">
        <v>1</v>
      </c>
      <c r="K2" s="58">
        <v>1</v>
      </c>
      <c r="L2" s="59"/>
      <c r="M2" s="66"/>
      <c r="N2" s="60" t="s">
        <v>143</v>
      </c>
    </row>
    <row r="3" spans="1:14" ht="15.6">
      <c r="A3" s="56" t="s">
        <v>144</v>
      </c>
      <c r="B3" s="57">
        <v>1</v>
      </c>
      <c r="C3" s="57">
        <v>1</v>
      </c>
      <c r="D3" s="57">
        <v>1</v>
      </c>
      <c r="E3" s="57">
        <v>-1</v>
      </c>
      <c r="F3" s="57">
        <v>-1</v>
      </c>
      <c r="G3" s="57">
        <v>1</v>
      </c>
      <c r="H3" s="57">
        <v>1</v>
      </c>
      <c r="I3" s="57">
        <v>1</v>
      </c>
      <c r="J3" s="57">
        <v>-1</v>
      </c>
      <c r="K3" s="61">
        <v>-1</v>
      </c>
      <c r="L3" s="65"/>
      <c r="M3" s="63" t="s">
        <v>145</v>
      </c>
      <c r="N3" s="60"/>
    </row>
    <row r="4" spans="1:14" ht="16.899999999999999">
      <c r="A4" s="56" t="s">
        <v>146</v>
      </c>
      <c r="B4" s="57">
        <v>1</v>
      </c>
      <c r="C4" s="57">
        <v>-1</v>
      </c>
      <c r="D4" s="57">
        <v>1</v>
      </c>
      <c r="E4" s="57">
        <v>1</v>
      </c>
      <c r="F4" s="57">
        <v>-1</v>
      </c>
      <c r="G4" s="57">
        <v>1</v>
      </c>
      <c r="H4" s="57">
        <v>-1</v>
      </c>
      <c r="I4" s="57">
        <v>1</v>
      </c>
      <c r="J4" s="57">
        <v>1</v>
      </c>
      <c r="K4" s="61">
        <v>-1</v>
      </c>
      <c r="L4" s="63"/>
      <c r="M4" s="65"/>
      <c r="N4" s="60" t="s">
        <v>147</v>
      </c>
    </row>
    <row r="5" spans="1:14" ht="15.6">
      <c r="A5" s="56" t="s">
        <v>148</v>
      </c>
      <c r="B5" s="57">
        <v>1</v>
      </c>
      <c r="C5" s="57">
        <v>-1</v>
      </c>
      <c r="D5" s="57">
        <v>1</v>
      </c>
      <c r="E5" s="57">
        <v>-1</v>
      </c>
      <c r="F5" s="57">
        <v>1</v>
      </c>
      <c r="G5" s="57">
        <v>1</v>
      </c>
      <c r="H5" s="57">
        <v>-1</v>
      </c>
      <c r="I5" s="57">
        <v>1</v>
      </c>
      <c r="J5" s="57">
        <v>-1</v>
      </c>
      <c r="K5" s="61">
        <v>1</v>
      </c>
      <c r="L5" s="63"/>
      <c r="M5" s="65"/>
      <c r="N5" s="60" t="s">
        <v>16</v>
      </c>
    </row>
    <row r="6" spans="1:14" ht="15.6">
      <c r="A6" s="56" t="s">
        <v>149</v>
      </c>
      <c r="B6" s="57">
        <v>2</v>
      </c>
      <c r="C6" s="57">
        <v>0</v>
      </c>
      <c r="D6" s="57">
        <v>-2</v>
      </c>
      <c r="E6" s="57">
        <v>0</v>
      </c>
      <c r="F6" s="57">
        <v>0</v>
      </c>
      <c r="G6" s="57">
        <v>2</v>
      </c>
      <c r="H6" s="57">
        <v>0</v>
      </c>
      <c r="I6" s="57">
        <v>-2</v>
      </c>
      <c r="J6" s="57">
        <v>0</v>
      </c>
      <c r="K6" s="61">
        <v>0</v>
      </c>
      <c r="L6" s="65"/>
      <c r="M6" s="64" t="s">
        <v>150</v>
      </c>
      <c r="N6" s="62" t="s">
        <v>151</v>
      </c>
    </row>
    <row r="7" spans="1:14" ht="15.6">
      <c r="A7" s="56" t="s">
        <v>152</v>
      </c>
      <c r="B7" s="57">
        <v>1</v>
      </c>
      <c r="C7" s="57">
        <v>1</v>
      </c>
      <c r="D7" s="57">
        <v>1</v>
      </c>
      <c r="E7" s="57">
        <v>1</v>
      </c>
      <c r="F7" s="57">
        <v>1</v>
      </c>
      <c r="G7" s="57">
        <v>-1</v>
      </c>
      <c r="H7" s="57">
        <v>-1</v>
      </c>
      <c r="I7" s="57">
        <v>-1</v>
      </c>
      <c r="J7" s="57">
        <v>-1</v>
      </c>
      <c r="K7" s="61">
        <v>-1</v>
      </c>
      <c r="L7" s="63"/>
      <c r="M7" s="63"/>
    </row>
    <row r="8" spans="1:14" ht="15.6">
      <c r="A8" s="56" t="s">
        <v>153</v>
      </c>
      <c r="B8" s="57">
        <v>1</v>
      </c>
      <c r="C8" s="57">
        <v>1</v>
      </c>
      <c r="D8" s="57">
        <v>1</v>
      </c>
      <c r="E8" s="57">
        <v>-1</v>
      </c>
      <c r="F8" s="57">
        <v>-1</v>
      </c>
      <c r="G8" s="57">
        <v>-1</v>
      </c>
      <c r="H8" s="57">
        <v>-1</v>
      </c>
      <c r="I8" s="57">
        <v>-1</v>
      </c>
      <c r="J8" s="57">
        <v>1</v>
      </c>
      <c r="K8" s="61">
        <v>1</v>
      </c>
      <c r="L8" s="63" t="s">
        <v>23</v>
      </c>
      <c r="M8" s="63"/>
    </row>
    <row r="9" spans="1:14" ht="15.6">
      <c r="A9" s="56" t="s">
        <v>154</v>
      </c>
      <c r="B9" s="57">
        <v>1</v>
      </c>
      <c r="C9" s="57">
        <v>-1</v>
      </c>
      <c r="D9" s="57">
        <v>1</v>
      </c>
      <c r="E9" s="57">
        <v>1</v>
      </c>
      <c r="F9" s="57">
        <v>-1</v>
      </c>
      <c r="G9" s="57">
        <v>-1</v>
      </c>
      <c r="H9" s="57">
        <v>1</v>
      </c>
      <c r="I9" s="57">
        <v>-1</v>
      </c>
      <c r="J9" s="57">
        <v>-1</v>
      </c>
      <c r="K9" s="61">
        <v>1</v>
      </c>
      <c r="L9" s="63"/>
      <c r="M9" s="64"/>
    </row>
    <row r="10" spans="1:14" ht="15.6">
      <c r="A10" s="56" t="s">
        <v>155</v>
      </c>
      <c r="B10" s="57">
        <v>1</v>
      </c>
      <c r="C10" s="57">
        <v>-1</v>
      </c>
      <c r="D10" s="57">
        <v>1</v>
      </c>
      <c r="E10" s="57">
        <v>-1</v>
      </c>
      <c r="F10" s="57">
        <v>1</v>
      </c>
      <c r="G10" s="57">
        <v>-1</v>
      </c>
      <c r="H10" s="57">
        <v>1</v>
      </c>
      <c r="I10" s="57">
        <v>-1</v>
      </c>
      <c r="J10" s="57">
        <v>1</v>
      </c>
      <c r="K10" s="61">
        <v>-1</v>
      </c>
      <c r="L10" s="63"/>
      <c r="M10" s="64"/>
    </row>
    <row r="11" spans="1:14" ht="15.6">
      <c r="A11" s="56" t="s">
        <v>156</v>
      </c>
      <c r="B11" s="57">
        <v>2</v>
      </c>
      <c r="C11" s="57">
        <v>0</v>
      </c>
      <c r="D11" s="57">
        <v>-2</v>
      </c>
      <c r="E11" s="57">
        <v>0</v>
      </c>
      <c r="F11" s="57">
        <v>0</v>
      </c>
      <c r="G11" s="57">
        <v>-2</v>
      </c>
      <c r="H11" s="57">
        <v>0</v>
      </c>
      <c r="I11" s="57">
        <v>2</v>
      </c>
      <c r="J11" s="57">
        <v>0</v>
      </c>
      <c r="K11" s="57">
        <v>0</v>
      </c>
      <c r="L11" s="64" t="s">
        <v>157</v>
      </c>
      <c r="M11" s="64"/>
    </row>
    <row r="12" spans="1:14">
      <c r="A12" s="6" t="s">
        <v>27</v>
      </c>
      <c r="B12" s="7">
        <v>1</v>
      </c>
      <c r="C12" s="7">
        <v>2</v>
      </c>
      <c r="D12" s="7">
        <v>1</v>
      </c>
      <c r="E12" s="7">
        <v>2</v>
      </c>
      <c r="F12" s="7">
        <v>2</v>
      </c>
      <c r="G12" s="7">
        <v>1</v>
      </c>
      <c r="H12" s="7">
        <v>2</v>
      </c>
      <c r="I12" s="7">
        <v>1</v>
      </c>
      <c r="J12" s="7">
        <v>2</v>
      </c>
      <c r="K12" s="7">
        <v>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9171-78E4-41E0-8237-C14ECFD739C9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Migliaro</dc:creator>
  <cp:keywords/>
  <dc:description/>
  <cp:lastModifiedBy>Ayeni, Olajumoke</cp:lastModifiedBy>
  <cp:revision/>
  <dcterms:created xsi:type="dcterms:W3CDTF">2022-09-08T23:18:49Z</dcterms:created>
  <dcterms:modified xsi:type="dcterms:W3CDTF">2023-03-24T20:39:09Z</dcterms:modified>
  <cp:category/>
  <cp:contentStatus/>
</cp:coreProperties>
</file>